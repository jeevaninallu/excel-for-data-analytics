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IDS/Excel/"/>
    </mc:Choice>
  </mc:AlternateContent>
  <xr:revisionPtr revIDLastSave="40" documentId="8_{E6C0D4EC-E1BB-427A-A5EE-5270363E52A6}" xr6:coauthVersionLast="47" xr6:coauthVersionMax="47" xr10:uidLastSave="{127A5447-E8F7-4CC4-8E83-45E564588471}"/>
  <bookViews>
    <workbookView xWindow="-108" yWindow="-108" windowWidth="23256" windowHeight="13176" activeTab="1" xr2:uid="{00000000-000D-0000-FFFF-FFFF00000000}"/>
  </bookViews>
  <sheets>
    <sheet name="Data" sheetId="8" r:id="rId1"/>
    <sheet name="Text_Extraction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0" l="1" a="1"/>
  <c r="L2" i="10" s="1"/>
  <c r="M2" i="10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" i="8"/>
  <c r="J18" i="8"/>
  <c r="J19" i="8"/>
  <c r="J20" i="8"/>
  <c r="J21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3" i="8"/>
  <c r="J2" i="8"/>
  <c r="O3" i="8"/>
  <c r="P3" i="8"/>
  <c r="Q3" i="8"/>
  <c r="O4" i="8"/>
  <c r="P4" i="8"/>
  <c r="Q4" i="8"/>
  <c r="O5" i="8"/>
  <c r="P5" i="8"/>
  <c r="Q5" i="8"/>
  <c r="O6" i="8"/>
  <c r="P6" i="8" s="1"/>
  <c r="O7" i="8"/>
  <c r="P7" i="8"/>
  <c r="Q7" i="8" s="1"/>
  <c r="O8" i="8"/>
  <c r="P8" i="8"/>
  <c r="Q8" i="8"/>
  <c r="O9" i="8"/>
  <c r="O10" i="8"/>
  <c r="O11" i="8"/>
  <c r="O12" i="8"/>
  <c r="O13" i="8"/>
  <c r="O14" i="8"/>
  <c r="O15" i="8"/>
  <c r="O16" i="8"/>
  <c r="Q16" i="8" s="1"/>
  <c r="P16" i="8"/>
  <c r="O17" i="8"/>
  <c r="P17" i="8" s="1"/>
  <c r="O18" i="8"/>
  <c r="P18" i="8"/>
  <c r="Q18" i="8"/>
  <c r="O19" i="8"/>
  <c r="P19" i="8"/>
  <c r="Q19" i="8"/>
  <c r="O20" i="8"/>
  <c r="P20" i="8"/>
  <c r="Q20" i="8"/>
  <c r="O21" i="8"/>
  <c r="P21" i="8"/>
  <c r="Q21" i="8"/>
  <c r="O2" i="8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I3" i="10" a="1"/>
  <c r="I3" i="10" s="1"/>
  <c r="I4" i="10" a="1"/>
  <c r="I4" i="10" s="1"/>
  <c r="I5" i="10" a="1"/>
  <c r="I5" i="10" s="1"/>
  <c r="I6" i="10" a="1"/>
  <c r="I6" i="10" s="1"/>
  <c r="I7" i="10" a="1"/>
  <c r="I7" i="10" s="1"/>
  <c r="I8" i="10" a="1"/>
  <c r="I8" i="10" s="1"/>
  <c r="I9" i="10" a="1"/>
  <c r="I9" i="10" s="1"/>
  <c r="I10" i="10" a="1"/>
  <c r="I10" i="10" s="1"/>
  <c r="I11" i="10" a="1"/>
  <c r="I11" i="10" s="1"/>
  <c r="I12" i="10" a="1"/>
  <c r="I12" i="10" s="1"/>
  <c r="I13" i="10" a="1"/>
  <c r="I13" i="10" s="1"/>
  <c r="I14" i="10" a="1"/>
  <c r="I14" i="10" s="1"/>
  <c r="I15" i="10" a="1"/>
  <c r="I15" i="10" s="1"/>
  <c r="I16" i="10" a="1"/>
  <c r="I16" i="10" s="1"/>
  <c r="I17" i="10" a="1"/>
  <c r="I17" i="10" s="1"/>
  <c r="I18" i="10" a="1"/>
  <c r="I18" i="10" s="1"/>
  <c r="I19" i="10" a="1"/>
  <c r="I19" i="10" s="1"/>
  <c r="I20" i="10" a="1"/>
  <c r="I20" i="10" s="1"/>
  <c r="I21" i="10" a="1"/>
  <c r="I21" i="10" s="1"/>
  <c r="I2" i="10" a="1"/>
  <c r="I2" i="10" s="1"/>
  <c r="Q6" i="8" l="1"/>
  <c r="Q2" i="8"/>
  <c r="Q17" i="8"/>
  <c r="P9" i="8"/>
  <c r="Q9" i="8" s="1"/>
  <c r="P10" i="8"/>
  <c r="Q10" i="8"/>
  <c r="P11" i="8"/>
  <c r="Q11" i="8"/>
  <c r="P12" i="8"/>
  <c r="Q12" i="8"/>
  <c r="P13" i="8"/>
  <c r="Q13" i="8"/>
  <c r="P14" i="8"/>
  <c r="Q14" i="8"/>
  <c r="P15" i="8"/>
  <c r="Q15" i="8"/>
  <c r="P2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<sst xmlns="http://schemas.openxmlformats.org/spreadsheetml/2006/main" count="305" uniqueCount="91">
  <si>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</si>
  <si>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</si>
  <si>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</si>
  <si>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</si>
  <si>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</si>
  <si>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</si>
  <si>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</si>
  <si>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</si>
  <si>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</si>
  <si>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</si>
  <si>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</si>
  <si>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</si>
  <si>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</si>
  <si>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</si>
  <si>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</si>
  <si>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</si>
  <si>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</si>
  <si>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</si>
  <si>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</si>
  <si>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</si>
  <si>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</si>
  <si>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</si>
  <si>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</si>
  <si>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</si>
  <si>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</si>
  <si>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</si>
  <si>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</si>
  <si>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</si>
  <si>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</si>
  <si>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</si>
  <si>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</si>
  <si>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</si>
  <si>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</si>
  <si>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</si>
  <si>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</si>
  <si>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</si>
  <si>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</si>
  <si>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</si>
  <si>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</si>
  <si>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</si>
  <si>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</si>
  <si>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</si>
  <si>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</si>
  <si>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</si>
  <si>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</si>
  <si>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</si>
  <si>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</si>
  <si>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</si>
  <si>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</si>
  <si>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</si>
  <si>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</si>
  <si>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</si>
  <si>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</si>
  <si>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</si>
  <si>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</si>
  <si>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</si>
  <si>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</si>
  <si>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</si>
  <si>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</si>
  <si>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</si>
  <si>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</si>
  <si>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</si>
  <si>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Full Address</t>
  </si>
  <si>
    <t>Unique Jobs</t>
  </si>
  <si>
    <t>Find and MID (State)</t>
  </si>
  <si>
    <t>First Name</t>
  </si>
  <si>
    <t>Last Name</t>
  </si>
  <si>
    <t>Applicant ID</t>
  </si>
  <si>
    <t>Check 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</si>
  <si>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</si>
  <si>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</si>
  <si>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</si>
  <si>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</si>
  <si>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</si>
  <si>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</si>
  <si>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</si>
  <si>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</si>
  <si>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</si>
  <si>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</si>
  <si>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</si>
  <si>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</si>
  <si>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</si>
  <si>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</si>
  <si>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</si>
  <si>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</si>
  <si>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</si>
  <si>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</si>
  <si>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</si>
  <si>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</si>
  <si>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Applicant ID (Short)</t>
  </si>
  <si>
    <t>Application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</si>
</sst>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T21"/>
  <sheetViews>
    <sheetView topLeftCell="B1" zoomScale="105" zoomScaleNormal="117" workbookViewId="0">
      <selection activeCell="T2" sqref="T2:T21"/>
    </sheetView>
  </sheetViews>
  <sheetFormatPr defaultRowHeight="14.4" x14ac:dyDescent="0.3"/>
  <cols>
    <col min="1" max="1" width="17.5546875" customWidth="1"/>
    <col min="2" max="2" width="14.21875" customWidth="1"/>
    <col min="3" max="3" width="27.21875" customWidth="1"/>
    <col min="4" max="4" width="17.5546875" style="9" customWidth="1"/>
    <col min="5" max="5" width="26.21875" customWidth="1"/>
    <col min="6" max="6" width="11" customWidth="1"/>
    <col min="7" max="7" width="22" customWidth="1"/>
    <col min="8" max="8" width="40" customWidth="1"/>
    <col min="9" max="9" width="8.88671875" customWidth="1"/>
    <col min="10" max="10" width="34.77734375" customWidth="1"/>
    <col min="11" max="12" width="8.88671875" customWidth="1"/>
    <col min="13" max="13" width="16.44140625" customWidth="1"/>
    <col min="15" max="17" width="0" hidden="1" customWidth="1"/>
  </cols>
  <sheetData>
    <row r="1" spans="1:20" x14ac:dyDescent="0.3">
      <c r="A1" s="2" t="s">
        <v>67</v>
      </c>
      <c r="B1" s="3" t="s">
        <v>2</v>
      </c>
      <c r="C1" s="3" t="s">
        <v>3</v>
      </c>
      <c r="D1" s="10" t="s">
        <v>90</v>
      </c>
      <c r="E1" s="3" t="s">
        <v>0</v>
      </c>
      <c r="F1" s="3" t="s">
        <v>21</v>
      </c>
      <c r="G1" s="3" t="s">
        <v>22</v>
      </c>
      <c r="H1" s="4" t="s">
        <v>4</v>
      </c>
      <c r="J1" s="14" t="s">
        <v>62</v>
      </c>
      <c r="M1" s="14" t="s">
        <v>89</v>
      </c>
      <c r="O1" s="15" t="s">
        <v>64</v>
      </c>
      <c r="P1" s="15"/>
      <c r="Q1" s="15"/>
      <c r="R1" s="15" t="s">
        <v>64</v>
      </c>
      <c r="S1" s="15"/>
      <c r="T1" s="15"/>
    </row>
    <row r="2" spans="1:20" x14ac:dyDescent="0.3">
      <c r="A2" s="5" t="s">
        <v>70</v>
      </c>
      <c r="B2" s="1" t="s">
        <v>42</v>
      </c>
      <c r="C2" s="1" t="s">
        <v>1</v>
      </c>
      <c r="D2" s="11">
        <v>44971.640451388892</v>
      </c>
      <c r="E2" s="1" t="s">
        <v>43</v>
      </c>
      <c r="F2" s="1" t="s">
        <v>23</v>
      </c>
      <c r="G2" s="1" t="s">
        <v>24</v>
      </c>
      <c r="H2" s="6" t="s">
        <v>11</v>
      </c>
      <c r="J2" t="str">
        <f>_xlfn.TEXTJOIN("",TRUE,F2:G2)</f>
        <v>457 Oak StSan Jose, CA, 95101</v>
      </c>
      <c r="M2" t="str">
        <f>RIGHT(A2,3)</f>
        <v>548</v>
      </c>
      <c r="O2">
        <f>FIND(",", G2)+LEN(", ")</f>
        <v>11</v>
      </c>
      <c r="P2">
        <f>FIND(",",G2,O2)</f>
        <v>13</v>
      </c>
      <c r="Q2" t="str">
        <f>MID(G2,O2,P2-O2)</f>
        <v>CA</v>
      </c>
      <c r="R2">
        <f>FIND(",",G2)+LEN(", ")</f>
        <v>11</v>
      </c>
      <c r="S2">
        <f>FIND(",",G2,R2)</f>
        <v>13</v>
      </c>
      <c r="T2" t="str">
        <f>MID(G2,R2,(S2-R2))</f>
        <v>CA</v>
      </c>
    </row>
    <row r="3" spans="1:20" x14ac:dyDescent="0.3">
      <c r="A3" s="5" t="s">
        <v>69</v>
      </c>
      <c r="B3" s="1" t="s">
        <v>38</v>
      </c>
      <c r="C3" s="1" t="s">
        <v>5</v>
      </c>
      <c r="D3" s="11">
        <v>45055.40662037037</v>
      </c>
      <c r="E3" s="1" t="s">
        <v>39</v>
      </c>
      <c r="F3" s="1" t="s">
        <v>25</v>
      </c>
      <c r="G3" s="1" t="s">
        <v>26</v>
      </c>
      <c r="H3" s="6" t="s">
        <v>14</v>
      </c>
      <c r="J3" t="str">
        <f>_xlfn.TEXTJOIN("",TRUE,F3:G3)</f>
        <v>203 Birch StChicago, IL, 60601</v>
      </c>
      <c r="M3" t="str">
        <f t="shared" ref="M3:M21" si="0">RIGHT(A3,3)</f>
        <v>549</v>
      </c>
      <c r="O3">
        <f>FIND(",", G3)+LEN(", ")</f>
        <v>10</v>
      </c>
      <c r="P3">
        <f>FIND(",",G3,O3)</f>
        <v>12</v>
      </c>
      <c r="Q3" t="str">
        <f>MID(G3,O3,P3-O3)</f>
        <v>IL</v>
      </c>
      <c r="R3">
        <f t="shared" ref="R3:R22" si="1">FIND(",",G3)+LEN(", ")</f>
        <v>10</v>
      </c>
      <c r="S3">
        <f t="shared" ref="S3:S21" si="2">FIND(",",G3,R3)</f>
        <v>12</v>
      </c>
      <c r="T3" t="str">
        <f t="shared" ref="T3:T21" si="3">MID(G3,R3,(S3-R3))</f>
        <v>IL</v>
      </c>
    </row>
    <row r="4" spans="1:20" x14ac:dyDescent="0.3">
      <c r="A4" s="5" t="s">
        <v>71</v>
      </c>
      <c r="B4" s="1" t="s">
        <v>58</v>
      </c>
      <c r="C4" s="1" t="s">
        <v>12</v>
      </c>
      <c r="D4" s="11">
        <v>45128.729710648149</v>
      </c>
      <c r="E4" s="1" t="s">
        <v>59</v>
      </c>
      <c r="F4" s="1" t="s">
        <v>27</v>
      </c>
      <c r="G4" s="1" t="s">
        <v>26</v>
      </c>
      <c r="H4" s="6" t="s">
        <v>6</v>
      </c>
      <c r="J4" t="str">
        <f t="shared" ref="J4:J21" si="4">_xlfn.TEXTJOIN("",TRUE,F4:G4)</f>
        <v>790 Pine StChicago, IL, 60601</v>
      </c>
      <c r="M4" t="str">
        <f t="shared" si="0"/>
        <v>550</v>
      </c>
      <c r="O4">
        <f>FIND(",", G4)+LEN(", ")</f>
        <v>10</v>
      </c>
      <c r="P4">
        <f>FIND(",",G4,O4)</f>
        <v>12</v>
      </c>
      <c r="Q4" t="str">
        <f>MID(G4,O4,P4-O4)</f>
        <v>IL</v>
      </c>
      <c r="R4">
        <f t="shared" si="1"/>
        <v>10</v>
      </c>
      <c r="S4">
        <f t="shared" si="2"/>
        <v>12</v>
      </c>
      <c r="T4" t="str">
        <f t="shared" si="3"/>
        <v>IL</v>
      </c>
    </row>
    <row r="5" spans="1:20" x14ac:dyDescent="0.3">
      <c r="A5" s="5" t="s">
        <v>72</v>
      </c>
      <c r="B5" s="1" t="s">
        <v>42</v>
      </c>
      <c r="C5" s="1" t="s">
        <v>5</v>
      </c>
      <c r="D5" s="11">
        <v>45173.302187499998</v>
      </c>
      <c r="E5" s="1" t="s">
        <v>43</v>
      </c>
      <c r="F5" s="1" t="s">
        <v>23</v>
      </c>
      <c r="G5" s="1" t="s">
        <v>24</v>
      </c>
      <c r="H5" s="6" t="s">
        <v>11</v>
      </c>
      <c r="J5" t="str">
        <f t="shared" si="4"/>
        <v>457 Oak StSan Jose, CA, 95101</v>
      </c>
      <c r="M5" t="str">
        <f t="shared" si="0"/>
        <v>551</v>
      </c>
      <c r="O5">
        <f>FIND(",", G5)+LEN(", ")</f>
        <v>11</v>
      </c>
      <c r="P5">
        <f>FIND(",",G5,O5)</f>
        <v>13</v>
      </c>
      <c r="Q5" t="str">
        <f>MID(G5,O5,P5-O5)</f>
        <v>CA</v>
      </c>
      <c r="R5">
        <f t="shared" si="1"/>
        <v>11</v>
      </c>
      <c r="S5">
        <f t="shared" si="2"/>
        <v>13</v>
      </c>
      <c r="T5" t="str">
        <f t="shared" si="3"/>
        <v>CA</v>
      </c>
    </row>
    <row r="6" spans="1:20" x14ac:dyDescent="0.3">
      <c r="A6" s="5" t="s">
        <v>73</v>
      </c>
      <c r="B6" s="1" t="s">
        <v>40</v>
      </c>
      <c r="C6" s="1" t="s">
        <v>7</v>
      </c>
      <c r="D6" s="11">
        <v>45248.70857638889</v>
      </c>
      <c r="E6" s="1" t="s">
        <v>41</v>
      </c>
      <c r="F6" s="1" t="s">
        <v>29</v>
      </c>
      <c r="G6" s="1" t="s">
        <v>30</v>
      </c>
      <c r="H6" s="6" t="s">
        <v>10</v>
      </c>
      <c r="J6" t="str">
        <f t="shared" si="4"/>
        <v>459 Oak StPhiladelphia, PA, 19101</v>
      </c>
      <c r="M6" t="str">
        <f t="shared" si="0"/>
        <v>552</v>
      </c>
      <c r="O6">
        <f>FIND(",", G6)+LEN(", ")</f>
        <v>15</v>
      </c>
      <c r="P6">
        <f>FIND(",",G6,O6)</f>
        <v>17</v>
      </c>
      <c r="Q6" t="str">
        <f>MID(G6,O6,P6-O6)</f>
        <v>PA</v>
      </c>
      <c r="R6">
        <f t="shared" si="1"/>
        <v>15</v>
      </c>
      <c r="S6">
        <f t="shared" si="2"/>
        <v>17</v>
      </c>
      <c r="T6" t="str">
        <f t="shared" si="3"/>
        <v>PA</v>
      </c>
    </row>
    <row r="7" spans="1:20" x14ac:dyDescent="0.3">
      <c r="A7" s="5" t="s">
        <v>74</v>
      </c>
      <c r="B7" s="1" t="s">
        <v>46</v>
      </c>
      <c r="C7" s="1" t="s">
        <v>9</v>
      </c>
      <c r="D7" s="11">
        <v>45302.531921296293</v>
      </c>
      <c r="E7" s="1" t="s">
        <v>47</v>
      </c>
      <c r="F7" s="1" t="s">
        <v>31</v>
      </c>
      <c r="G7" s="1" t="s">
        <v>30</v>
      </c>
      <c r="H7" s="6" t="s">
        <v>15</v>
      </c>
      <c r="J7" t="str">
        <f t="shared" si="4"/>
        <v>204 Birch StPhiladelphia, PA, 19101</v>
      </c>
      <c r="M7" t="str">
        <f t="shared" si="0"/>
        <v>553</v>
      </c>
      <c r="O7">
        <f>FIND(",", G7)+LEN(", ")</f>
        <v>15</v>
      </c>
      <c r="P7">
        <f>FIND(",",G7,O7)</f>
        <v>17</v>
      </c>
      <c r="Q7" t="str">
        <f>MID(G7,O7,P7-O7)</f>
        <v>PA</v>
      </c>
      <c r="R7">
        <f t="shared" si="1"/>
        <v>15</v>
      </c>
      <c r="S7">
        <f t="shared" si="2"/>
        <v>17</v>
      </c>
      <c r="T7" t="str">
        <f t="shared" si="3"/>
        <v>PA</v>
      </c>
    </row>
    <row r="8" spans="1:20" x14ac:dyDescent="0.3">
      <c r="A8" s="5" t="s">
        <v>75</v>
      </c>
      <c r="B8" s="1" t="s">
        <v>58</v>
      </c>
      <c r="C8" s="1" t="s">
        <v>5</v>
      </c>
      <c r="D8" s="11">
        <v>45354.687881944446</v>
      </c>
      <c r="E8" s="1" t="s">
        <v>59</v>
      </c>
      <c r="F8" s="1" t="s">
        <v>27</v>
      </c>
      <c r="G8" s="1" t="s">
        <v>26</v>
      </c>
      <c r="H8" s="6" t="s">
        <v>6</v>
      </c>
      <c r="J8" t="str">
        <f t="shared" si="4"/>
        <v>790 Pine StChicago, IL, 60601</v>
      </c>
      <c r="M8" t="str">
        <f t="shared" si="0"/>
        <v>554</v>
      </c>
      <c r="O8">
        <f>FIND(",", G8)+LEN(", ")</f>
        <v>10</v>
      </c>
      <c r="P8">
        <f>FIND(",",G8,O8)</f>
        <v>12</v>
      </c>
      <c r="Q8" t="str">
        <f>MID(G8,O8,P8-O8)</f>
        <v>IL</v>
      </c>
      <c r="R8">
        <f t="shared" si="1"/>
        <v>10</v>
      </c>
      <c r="S8">
        <f t="shared" si="2"/>
        <v>12</v>
      </c>
      <c r="T8" t="str">
        <f t="shared" si="3"/>
        <v>IL</v>
      </c>
    </row>
    <row r="9" spans="1:20" x14ac:dyDescent="0.3">
      <c r="A9" s="5" t="s">
        <v>76</v>
      </c>
      <c r="B9" s="1" t="s">
        <v>46</v>
      </c>
      <c r="C9" s="1" t="s">
        <v>1</v>
      </c>
      <c r="D9" s="11">
        <v>45408.340810185182</v>
      </c>
      <c r="E9" s="1" t="s">
        <v>47</v>
      </c>
      <c r="F9" s="1" t="s">
        <v>31</v>
      </c>
      <c r="G9" s="1" t="s">
        <v>30</v>
      </c>
      <c r="H9" s="6" t="s">
        <v>15</v>
      </c>
      <c r="J9" t="str">
        <f t="shared" si="4"/>
        <v>204 Birch StPhiladelphia, PA, 19101</v>
      </c>
      <c r="M9" t="str">
        <f t="shared" si="0"/>
        <v>555</v>
      </c>
      <c r="O9">
        <f>FIND(",", G9)+LEN(", ")</f>
        <v>15</v>
      </c>
      <c r="P9">
        <f>FIND(",",G9,O9)</f>
        <v>17</v>
      </c>
      <c r="Q9" t="str">
        <f>MID(G9,O9,P9-O9)</f>
        <v>PA</v>
      </c>
      <c r="R9">
        <f t="shared" si="1"/>
        <v>15</v>
      </c>
      <c r="S9">
        <f t="shared" si="2"/>
        <v>17</v>
      </c>
      <c r="T9" t="str">
        <f t="shared" si="3"/>
        <v>PA</v>
      </c>
    </row>
    <row r="10" spans="1:20" x14ac:dyDescent="0.3">
      <c r="A10" s="5" t="s">
        <v>77</v>
      </c>
      <c r="B10" s="1" t="s">
        <v>50</v>
      </c>
      <c r="C10" s="1" t="s">
        <v>7</v>
      </c>
      <c r="D10" s="11">
        <v>45458.743333333332</v>
      </c>
      <c r="E10" s="1" t="s">
        <v>51</v>
      </c>
      <c r="F10" s="1" t="s">
        <v>33</v>
      </c>
      <c r="G10" s="1" t="s">
        <v>26</v>
      </c>
      <c r="H10" s="6" t="s">
        <v>18</v>
      </c>
      <c r="J10" t="str">
        <f t="shared" si="4"/>
        <v>123 Elm StChicago, IL, 60601</v>
      </c>
      <c r="M10" t="str">
        <f t="shared" si="0"/>
        <v>556</v>
      </c>
      <c r="O10">
        <f>FIND(",", G10)+LEN(", ")</f>
        <v>10</v>
      </c>
      <c r="P10">
        <f>FIND(",",G10,O10)</f>
        <v>12</v>
      </c>
      <c r="Q10" t="str">
        <f>MID(G10,O10,P10-O10)</f>
        <v>IL</v>
      </c>
      <c r="R10">
        <f t="shared" si="1"/>
        <v>10</v>
      </c>
      <c r="S10">
        <f t="shared" si="2"/>
        <v>12</v>
      </c>
      <c r="T10" t="str">
        <f t="shared" si="3"/>
        <v>IL</v>
      </c>
    </row>
    <row r="11" spans="1:20" x14ac:dyDescent="0.3">
      <c r="A11" s="5" t="s">
        <v>78</v>
      </c>
      <c r="B11" s="1" t="s">
        <v>54</v>
      </c>
      <c r="C11" s="1" t="s">
        <v>12</v>
      </c>
      <c r="D11" s="11">
        <v>45480.608055555553</v>
      </c>
      <c r="E11" s="1" t="s">
        <v>55</v>
      </c>
      <c r="F11" s="1" t="s">
        <v>33</v>
      </c>
      <c r="G11" s="1" t="s">
        <v>32</v>
      </c>
      <c r="H11" s="6" t="s">
        <v>13</v>
      </c>
      <c r="J11" t="str">
        <f t="shared" si="4"/>
        <v>123 Elm StLos Angeles, CA, 90001</v>
      </c>
      <c r="M11" t="str">
        <f t="shared" si="0"/>
        <v>557</v>
      </c>
      <c r="O11">
        <f>FIND(",", G11)+LEN(", ")</f>
        <v>14</v>
      </c>
      <c r="P11">
        <f>FIND(",",G11,O11)</f>
        <v>16</v>
      </c>
      <c r="Q11" t="str">
        <f>MID(G11,O11,P11-O11)</f>
        <v>CA</v>
      </c>
      <c r="R11">
        <f t="shared" si="1"/>
        <v>14</v>
      </c>
      <c r="S11">
        <f t="shared" si="2"/>
        <v>16</v>
      </c>
      <c r="T11" t="str">
        <f t="shared" si="3"/>
        <v>CA</v>
      </c>
    </row>
    <row r="12" spans="1:20" x14ac:dyDescent="0.3">
      <c r="A12" s="5" t="s">
        <v>79</v>
      </c>
      <c r="B12" s="1" t="s">
        <v>44</v>
      </c>
      <c r="C12" s="1" t="s">
        <v>7</v>
      </c>
      <c r="D12" s="11">
        <v>45455.284930555557</v>
      </c>
      <c r="E12" s="1" t="s">
        <v>45</v>
      </c>
      <c r="F12" s="1" t="s">
        <v>33</v>
      </c>
      <c r="G12" s="1" t="s">
        <v>34</v>
      </c>
      <c r="H12" s="6" t="s">
        <v>17</v>
      </c>
      <c r="J12" t="str">
        <f t="shared" si="4"/>
        <v>123 Elm StSan Diego, CA, 92101</v>
      </c>
      <c r="M12" t="str">
        <f t="shared" si="0"/>
        <v>558</v>
      </c>
      <c r="O12">
        <f>FIND(",", G12)+LEN(", ")</f>
        <v>12</v>
      </c>
      <c r="P12">
        <f>FIND(",",G12,O12)</f>
        <v>14</v>
      </c>
      <c r="Q12" t="str">
        <f>MID(G12,O12,P12-O12)</f>
        <v>CA</v>
      </c>
      <c r="R12">
        <f t="shared" si="1"/>
        <v>12</v>
      </c>
      <c r="S12">
        <f t="shared" si="2"/>
        <v>14</v>
      </c>
      <c r="T12" t="str">
        <f t="shared" si="3"/>
        <v>CA</v>
      </c>
    </row>
    <row r="13" spans="1:20" x14ac:dyDescent="0.3">
      <c r="A13" s="5" t="s">
        <v>80</v>
      </c>
      <c r="B13" s="1" t="s">
        <v>56</v>
      </c>
      <c r="C13" s="1" t="s">
        <v>9</v>
      </c>
      <c r="D13" s="11">
        <v>44951.552141203705</v>
      </c>
      <c r="E13" s="1" t="s">
        <v>57</v>
      </c>
      <c r="F13" s="1" t="s">
        <v>35</v>
      </c>
      <c r="G13" s="1" t="s">
        <v>26</v>
      </c>
      <c r="H13" s="6" t="s">
        <v>16</v>
      </c>
      <c r="J13" t="str">
        <f t="shared" si="4"/>
        <v>202 Birch StChicago, IL, 60601</v>
      </c>
      <c r="M13" t="str">
        <f t="shared" si="0"/>
        <v>559</v>
      </c>
      <c r="O13">
        <f>FIND(",", G13)+LEN(", ")</f>
        <v>10</v>
      </c>
      <c r="P13">
        <f>FIND(",",G13,O13)</f>
        <v>12</v>
      </c>
      <c r="Q13" t="str">
        <f>MID(G13,O13,P13-O13)</f>
        <v>IL</v>
      </c>
      <c r="R13">
        <f t="shared" si="1"/>
        <v>10</v>
      </c>
      <c r="S13">
        <f t="shared" si="2"/>
        <v>12</v>
      </c>
      <c r="T13" t="str">
        <f t="shared" si="3"/>
        <v>IL</v>
      </c>
    </row>
    <row r="14" spans="1:20" x14ac:dyDescent="0.3">
      <c r="A14" s="5" t="s">
        <v>81</v>
      </c>
      <c r="B14" s="1" t="s">
        <v>46</v>
      </c>
      <c r="C14" s="1" t="s">
        <v>12</v>
      </c>
      <c r="D14" s="11">
        <v>45002.490034722221</v>
      </c>
      <c r="E14" s="1" t="s">
        <v>47</v>
      </c>
      <c r="F14" s="1" t="s">
        <v>31</v>
      </c>
      <c r="G14" s="1" t="s">
        <v>30</v>
      </c>
      <c r="H14" s="6" t="s">
        <v>15</v>
      </c>
      <c r="J14" t="str">
        <f t="shared" si="4"/>
        <v>204 Birch StPhiladelphia, PA, 19101</v>
      </c>
      <c r="M14" t="str">
        <f t="shared" si="0"/>
        <v>560</v>
      </c>
      <c r="O14">
        <f>FIND(",", G14)+LEN(", ")</f>
        <v>15</v>
      </c>
      <c r="P14">
        <f>FIND(",",G14,O14)</f>
        <v>17</v>
      </c>
      <c r="Q14" t="str">
        <f>MID(G14,O14,P14-O14)</f>
        <v>PA</v>
      </c>
      <c r="R14">
        <f t="shared" si="1"/>
        <v>15</v>
      </c>
      <c r="S14">
        <f t="shared" si="2"/>
        <v>17</v>
      </c>
      <c r="T14" t="str">
        <f t="shared" si="3"/>
        <v>PA</v>
      </c>
    </row>
    <row r="15" spans="1:20" x14ac:dyDescent="0.3">
      <c r="A15" s="5" t="s">
        <v>82</v>
      </c>
      <c r="B15" s="1" t="s">
        <v>52</v>
      </c>
      <c r="C15" s="1" t="s">
        <v>9</v>
      </c>
      <c r="D15" s="11">
        <v>45078.417256944442</v>
      </c>
      <c r="E15" s="1" t="s">
        <v>53</v>
      </c>
      <c r="F15" s="1" t="s">
        <v>33</v>
      </c>
      <c r="G15" s="1" t="s">
        <v>26</v>
      </c>
      <c r="H15" s="6" t="s">
        <v>19</v>
      </c>
      <c r="J15" t="str">
        <f t="shared" si="4"/>
        <v>123 Elm StChicago, IL, 60601</v>
      </c>
      <c r="M15" t="str">
        <f t="shared" si="0"/>
        <v>561</v>
      </c>
      <c r="O15">
        <f>FIND(",", G15)+LEN(", ")</f>
        <v>10</v>
      </c>
      <c r="P15">
        <f>FIND(",",G15,O15)</f>
        <v>12</v>
      </c>
      <c r="Q15" t="str">
        <f>MID(G15,O15,P15-O15)</f>
        <v>IL</v>
      </c>
      <c r="R15">
        <f t="shared" si="1"/>
        <v>10</v>
      </c>
      <c r="S15">
        <f t="shared" si="2"/>
        <v>12</v>
      </c>
      <c r="T15" t="str">
        <f t="shared" si="3"/>
        <v>IL</v>
      </c>
    </row>
    <row r="16" spans="1:20" x14ac:dyDescent="0.3">
      <c r="A16" s="5" t="s">
        <v>83</v>
      </c>
      <c r="B16" s="1" t="s">
        <v>60</v>
      </c>
      <c r="C16" s="1" t="s">
        <v>9</v>
      </c>
      <c r="D16" s="11">
        <v>45168.729328703703</v>
      </c>
      <c r="E16" s="1" t="s">
        <v>61</v>
      </c>
      <c r="F16" s="1" t="s">
        <v>28</v>
      </c>
      <c r="G16" s="1" t="s">
        <v>26</v>
      </c>
      <c r="H16" s="6" t="s">
        <v>20</v>
      </c>
      <c r="J16" t="str">
        <f t="shared" si="4"/>
        <v>456 Oak StChicago, IL, 60601</v>
      </c>
      <c r="M16" t="str">
        <f t="shared" si="0"/>
        <v>562</v>
      </c>
      <c r="O16">
        <f>FIND(",", G16)+LEN(", ")</f>
        <v>10</v>
      </c>
      <c r="P16">
        <f>FIND(",",G16,O16)</f>
        <v>12</v>
      </c>
      <c r="Q16" t="str">
        <f>MID(G16,O16,P16-O16)</f>
        <v>IL</v>
      </c>
      <c r="R16">
        <f t="shared" si="1"/>
        <v>10</v>
      </c>
      <c r="S16">
        <f t="shared" si="2"/>
        <v>12</v>
      </c>
      <c r="T16" t="str">
        <f t="shared" si="3"/>
        <v>IL</v>
      </c>
    </row>
    <row r="17" spans="1:20" x14ac:dyDescent="0.3">
      <c r="A17" s="5" t="s">
        <v>84</v>
      </c>
      <c r="B17" s="1" t="s">
        <v>38</v>
      </c>
      <c r="C17" s="1" t="s">
        <v>7</v>
      </c>
      <c r="D17" s="11">
        <v>45218.319780092592</v>
      </c>
      <c r="E17" s="1" t="s">
        <v>39</v>
      </c>
      <c r="F17" s="1" t="s">
        <v>25</v>
      </c>
      <c r="G17" s="1" t="s">
        <v>37</v>
      </c>
      <c r="H17" s="6" t="s">
        <v>14</v>
      </c>
      <c r="J17" t="str">
        <f t="shared" si="4"/>
        <v>203 Birch StChicago, IL, 60602</v>
      </c>
      <c r="M17" t="str">
        <f t="shared" si="0"/>
        <v>563</v>
      </c>
      <c r="O17">
        <f>FIND(",", G17)+LEN(", ")</f>
        <v>10</v>
      </c>
      <c r="P17">
        <f>FIND(",",G17,O17)</f>
        <v>12</v>
      </c>
      <c r="Q17" t="str">
        <f>MID(G17,O17,P17-O17)</f>
        <v>IL</v>
      </c>
      <c r="R17">
        <f t="shared" si="1"/>
        <v>10</v>
      </c>
      <c r="S17">
        <f t="shared" si="2"/>
        <v>12</v>
      </c>
      <c r="T17" t="str">
        <f t="shared" si="3"/>
        <v>IL</v>
      </c>
    </row>
    <row r="18" spans="1:20" x14ac:dyDescent="0.3">
      <c r="A18" s="5" t="s">
        <v>85</v>
      </c>
      <c r="B18" s="1" t="s">
        <v>40</v>
      </c>
      <c r="C18" s="1" t="s">
        <v>12</v>
      </c>
      <c r="D18" s="11">
        <v>45350.719236111108</v>
      </c>
      <c r="E18" s="1" t="s">
        <v>41</v>
      </c>
      <c r="F18" s="1" t="s">
        <v>29</v>
      </c>
      <c r="G18" s="1" t="s">
        <v>30</v>
      </c>
      <c r="H18" s="6" t="s">
        <v>10</v>
      </c>
      <c r="J18" t="str">
        <f>_xlfn.TEXTJOIN("",TRUE,F18:G18)</f>
        <v>459 Oak StPhiladelphia, PA, 19101</v>
      </c>
      <c r="M18" t="str">
        <f t="shared" si="0"/>
        <v>564</v>
      </c>
      <c r="O18">
        <f>FIND(",", G18)+LEN(", ")</f>
        <v>15</v>
      </c>
      <c r="P18">
        <f>FIND(",",G18,O18)</f>
        <v>17</v>
      </c>
      <c r="Q18" t="str">
        <f>MID(G18,O18,P18-O18)</f>
        <v>PA</v>
      </c>
      <c r="R18">
        <f t="shared" si="1"/>
        <v>15</v>
      </c>
      <c r="S18">
        <f t="shared" si="2"/>
        <v>17</v>
      </c>
      <c r="T18" t="str">
        <f t="shared" si="3"/>
        <v>PA</v>
      </c>
    </row>
    <row r="19" spans="1:20" x14ac:dyDescent="0.3">
      <c r="A19" s="5" t="s">
        <v>86</v>
      </c>
      <c r="B19" s="1" t="s">
        <v>48</v>
      </c>
      <c r="C19" s="1" t="s">
        <v>7</v>
      </c>
      <c r="D19" s="11">
        <v>45418.726354166669</v>
      </c>
      <c r="E19" s="1" t="s">
        <v>49</v>
      </c>
      <c r="F19" s="1" t="s">
        <v>28</v>
      </c>
      <c r="G19" s="1" t="s">
        <v>36</v>
      </c>
      <c r="H19" s="6" t="s">
        <v>8</v>
      </c>
      <c r="J19" t="str">
        <f t="shared" si="4"/>
        <v>456 Oak StNew York, NY, 10001</v>
      </c>
      <c r="M19" t="str">
        <f t="shared" si="0"/>
        <v>565</v>
      </c>
      <c r="O19">
        <f>FIND(",", G19)+LEN(", ")</f>
        <v>11</v>
      </c>
      <c r="P19">
        <f>FIND(",",G19,O19)</f>
        <v>13</v>
      </c>
      <c r="Q19" t="str">
        <f>MID(G19,O19,P19-O19)</f>
        <v>NY</v>
      </c>
      <c r="R19">
        <f t="shared" si="1"/>
        <v>11</v>
      </c>
      <c r="S19">
        <f t="shared" si="2"/>
        <v>13</v>
      </c>
      <c r="T19" t="str">
        <f t="shared" si="3"/>
        <v>NY</v>
      </c>
    </row>
    <row r="20" spans="1:20" x14ac:dyDescent="0.3">
      <c r="A20" s="5" t="s">
        <v>87</v>
      </c>
      <c r="B20" s="1" t="s">
        <v>40</v>
      </c>
      <c r="C20" s="1" t="s">
        <v>9</v>
      </c>
      <c r="D20" s="11">
        <v>45496.291701388887</v>
      </c>
      <c r="E20" s="1" t="s">
        <v>41</v>
      </c>
      <c r="F20" s="1" t="s">
        <v>29</v>
      </c>
      <c r="G20" s="1" t="s">
        <v>30</v>
      </c>
      <c r="H20" s="6" t="s">
        <v>10</v>
      </c>
      <c r="J20" t="str">
        <f t="shared" si="4"/>
        <v>459 Oak StPhiladelphia, PA, 19101</v>
      </c>
      <c r="M20" t="str">
        <f t="shared" si="0"/>
        <v>566</v>
      </c>
      <c r="O20">
        <f>FIND(",", G20)+LEN(", ")</f>
        <v>15</v>
      </c>
      <c r="P20">
        <f>FIND(",",G20,O20)</f>
        <v>17</v>
      </c>
      <c r="Q20" t="str">
        <f>MID(G20,O20,P20-O20)</f>
        <v>PA</v>
      </c>
      <c r="R20">
        <f t="shared" si="1"/>
        <v>15</v>
      </c>
      <c r="S20">
        <f t="shared" si="2"/>
        <v>17</v>
      </c>
      <c r="T20" t="str">
        <f t="shared" si="3"/>
        <v>PA</v>
      </c>
    </row>
    <row r="21" spans="1:20" ht="15" thickBot="1" x14ac:dyDescent="0.35">
      <c r="A21" s="5" t="s">
        <v>88</v>
      </c>
      <c r="B21" s="7" t="s">
        <v>40</v>
      </c>
      <c r="C21" s="7" t="s">
        <v>9</v>
      </c>
      <c r="D21" s="12">
        <v>45422.739884259259</v>
      </c>
      <c r="E21" s="7" t="s">
        <v>41</v>
      </c>
      <c r="F21" s="7" t="s">
        <v>29</v>
      </c>
      <c r="G21" s="7" t="s">
        <v>36</v>
      </c>
      <c r="H21" s="8" t="s">
        <v>10</v>
      </c>
      <c r="J21" t="str">
        <f t="shared" si="4"/>
        <v>459 Oak StNew York, NY, 10001</v>
      </c>
      <c r="M21" t="str">
        <f t="shared" si="0"/>
        <v>567</v>
      </c>
      <c r="O21">
        <f>FIND(",", G21)+LEN(", ")</f>
        <v>11</v>
      </c>
      <c r="P21">
        <f>FIND(",",G21,O21)</f>
        <v>13</v>
      </c>
      <c r="Q21" t="str">
        <f>MID(G21,O21,P21-O21)</f>
        <v>NY</v>
      </c>
      <c r="R21">
        <f t="shared" si="1"/>
        <v>11</v>
      </c>
      <c r="S21">
        <f t="shared" si="2"/>
        <v>13</v>
      </c>
      <c r="T21" t="str">
        <f t="shared" si="3"/>
        <v>NY</v>
      </c>
    </row>
  </sheetData>
  <sortState xmlns:xlrd2="http://schemas.microsoft.com/office/spreadsheetml/2017/richdata2" ref="B2:H22">
    <sortCondition ref="D1:D22"/>
  </sortState>
  <mergeCells count="2">
    <mergeCell ref="O1:Q1"/>
    <mergeCell ref="R1:T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97DD-EE87-4022-A4E6-1027B6E64DD6}">
  <dimension ref="A1:N21"/>
  <sheetViews>
    <sheetView tabSelected="1" topLeftCell="D1" zoomScale="91" workbookViewId="0">
      <selection activeCell="M2" sqref="M2"/>
    </sheetView>
  </sheetViews>
  <sheetFormatPr defaultRowHeight="14.4" x14ac:dyDescent="0.3"/>
  <cols>
    <col min="1" max="1" width="14.21875" bestFit="1" customWidth="1"/>
    <col min="2" max="2" width="23.44140625" bestFit="1" customWidth="1"/>
    <col min="3" max="3" width="29" style="9" customWidth="1"/>
    <col min="4" max="4" width="16" customWidth="1"/>
    <col min="5" max="5" width="11.88671875" customWidth="1"/>
    <col min="6" max="6" width="22" customWidth="1"/>
    <col min="7" max="8" width="40" customWidth="1"/>
    <col min="9" max="9" width="10.5546875" bestFit="1" customWidth="1"/>
    <col min="10" max="10" width="10.109375" bestFit="1" customWidth="1"/>
    <col min="12" max="12" width="27.21875" bestFit="1" customWidth="1"/>
    <col min="13" max="13" width="17.6640625" bestFit="1" customWidth="1"/>
    <col min="14" max="14" width="18.5546875" bestFit="1" customWidth="1"/>
  </cols>
  <sheetData>
    <row r="1" spans="1:14" x14ac:dyDescent="0.3">
      <c r="A1" s="2" t="s">
        <v>67</v>
      </c>
      <c r="B1" s="3" t="s">
        <v>2</v>
      </c>
      <c r="C1" s="3" t="s">
        <v>3</v>
      </c>
      <c r="D1" s="10" t="s">
        <v>90</v>
      </c>
      <c r="E1" s="3" t="s">
        <v>0</v>
      </c>
      <c r="F1" s="3" t="s">
        <v>21</v>
      </c>
      <c r="G1" s="3" t="s">
        <v>22</v>
      </c>
      <c r="H1" s="4" t="s">
        <v>4</v>
      </c>
      <c r="I1" s="14" t="s">
        <v>65</v>
      </c>
      <c r="J1" s="14" t="s">
        <v>66</v>
      </c>
      <c r="K1" s="13"/>
      <c r="L1" s="14" t="s">
        <v>63</v>
      </c>
      <c r="M1" s="14" t="s">
        <v>68</v>
      </c>
      <c r="N1" s="14" t="s">
        <v>89</v>
      </c>
    </row>
    <row r="2" spans="1:14" x14ac:dyDescent="0.3">
      <c r="A2" s="5" t="s">
        <v>70</v>
      </c>
      <c r="B2" s="1" t="s">
        <v>42</v>
      </c>
      <c r="C2" s="1" t="s">
        <v>1</v>
      </c>
      <c r="D2" s="11">
        <v>44971.640451388892</v>
      </c>
      <c r="E2" s="1" t="s">
        <v>43</v>
      </c>
      <c r="F2" s="1" t="s">
        <v>23</v>
      </c>
      <c r="G2" s="1" t="s">
        <v>24</v>
      </c>
      <c r="H2" s="6" t="s">
        <v>11</v>
      </c>
      <c r="I2" t="str" cm="1">
        <f t="array" ref="I2:J2">_xlfn.TEXTSPLIT(B2," ")</f>
        <v>Pam</v>
      </c>
      <c r="J2" t="str">
        <v>Beesly</v>
      </c>
      <c r="L2" t="str" cm="1">
        <f t="array" ref="L2:L6">_xlfn.UNIQUE(C2:C21)</f>
        <v>Data Analyst</v>
      </c>
      <c r="M2" t="b">
        <f>IF(LEN(A2)=10,TRUE,FALSE)</f>
        <v>1</v>
      </c>
      <c r="N2" t="str">
        <f>RIGHT(A2,7)</f>
        <v>0123548</v>
      </c>
    </row>
    <row r="3" spans="1:14" x14ac:dyDescent="0.3">
      <c r="A3" s="5" t="s">
        <v>69</v>
      </c>
      <c r="B3" s="1" t="s">
        <v>38</v>
      </c>
      <c r="C3" s="1" t="s">
        <v>5</v>
      </c>
      <c r="D3" s="11">
        <v>45055.40662037037</v>
      </c>
      <c r="E3" s="1" t="s">
        <v>39</v>
      </c>
      <c r="F3" s="1" t="s">
        <v>25</v>
      </c>
      <c r="G3" s="1" t="s">
        <v>26</v>
      </c>
      <c r="H3" s="6" t="s">
        <v>14</v>
      </c>
      <c r="I3" t="str" cm="1">
        <f t="array" ref="I3:J3">_xlfn.TEXTSPLIT(B3," ")</f>
        <v>Michael</v>
      </c>
      <c r="J3" t="str">
        <v>Scott</v>
      </c>
      <c r="L3" t="str">
        <v>Business Intelligence Analyst</v>
      </c>
      <c r="M3" t="b">
        <f t="shared" ref="M3:M21" si="0">IF(LEN(A3)=10,TRUE,FALSE)</f>
        <v>1</v>
      </c>
      <c r="N3" t="str">
        <f t="shared" ref="N3:N21" si="1">RIGHT(A3,7)</f>
        <v>0123549</v>
      </c>
    </row>
    <row r="4" spans="1:14" x14ac:dyDescent="0.3">
      <c r="A4" s="5" t="s">
        <v>71</v>
      </c>
      <c r="B4" s="1" t="s">
        <v>58</v>
      </c>
      <c r="C4" s="1" t="s">
        <v>12</v>
      </c>
      <c r="D4" s="11">
        <v>45128.729710648149</v>
      </c>
      <c r="E4" s="1" t="s">
        <v>59</v>
      </c>
      <c r="F4" s="1" t="s">
        <v>27</v>
      </c>
      <c r="G4" s="1" t="s">
        <v>26</v>
      </c>
      <c r="H4" s="6" t="s">
        <v>6</v>
      </c>
      <c r="I4" t="str" cm="1">
        <f t="array" ref="I4:J4">_xlfn.TEXTSPLIT(B4," ")</f>
        <v>Kevin</v>
      </c>
      <c r="J4" t="str">
        <v>Malone</v>
      </c>
      <c r="L4" t="str">
        <v>Data Engineer</v>
      </c>
      <c r="M4" t="b">
        <f t="shared" si="0"/>
        <v>1</v>
      </c>
      <c r="N4" t="str">
        <f t="shared" si="1"/>
        <v>0123550</v>
      </c>
    </row>
    <row r="5" spans="1:14" x14ac:dyDescent="0.3">
      <c r="A5" s="5" t="s">
        <v>72</v>
      </c>
      <c r="B5" s="1" t="s">
        <v>42</v>
      </c>
      <c r="C5" s="1" t="s">
        <v>5</v>
      </c>
      <c r="D5" s="11">
        <v>45173.302187499998</v>
      </c>
      <c r="E5" s="1" t="s">
        <v>43</v>
      </c>
      <c r="F5" s="1" t="s">
        <v>23</v>
      </c>
      <c r="G5" s="1" t="s">
        <v>24</v>
      </c>
      <c r="H5" s="6" t="s">
        <v>11</v>
      </c>
      <c r="I5" t="str" cm="1">
        <f t="array" ref="I5:J5">_xlfn.TEXTSPLIT(B5," ")</f>
        <v>Pam</v>
      </c>
      <c r="J5" t="str">
        <v>Beesly</v>
      </c>
      <c r="L5" t="str">
        <v>Data Scientist</v>
      </c>
      <c r="M5" t="b">
        <f t="shared" si="0"/>
        <v>1</v>
      </c>
      <c r="N5" t="str">
        <f t="shared" si="1"/>
        <v>0123551</v>
      </c>
    </row>
    <row r="6" spans="1:14" x14ac:dyDescent="0.3">
      <c r="A6" s="5" t="s">
        <v>73</v>
      </c>
      <c r="B6" s="1" t="s">
        <v>40</v>
      </c>
      <c r="C6" s="1" t="s">
        <v>7</v>
      </c>
      <c r="D6" s="11">
        <v>45248.70857638889</v>
      </c>
      <c r="E6" s="1" t="s">
        <v>41</v>
      </c>
      <c r="F6" s="1" t="s">
        <v>29</v>
      </c>
      <c r="G6" s="1" t="s">
        <v>30</v>
      </c>
      <c r="H6" s="6" t="s">
        <v>10</v>
      </c>
      <c r="I6" t="str" cm="1">
        <f t="array" ref="I6:J6">_xlfn.TEXTSPLIT(B6," ")</f>
        <v>Jim</v>
      </c>
      <c r="J6" t="str">
        <v>Halpert</v>
      </c>
      <c r="L6" t="str">
        <v>Machine Learning Engineer</v>
      </c>
      <c r="M6" t="b">
        <f t="shared" si="0"/>
        <v>1</v>
      </c>
      <c r="N6" t="str">
        <f t="shared" si="1"/>
        <v>0123552</v>
      </c>
    </row>
    <row r="7" spans="1:14" x14ac:dyDescent="0.3">
      <c r="A7" s="5" t="s">
        <v>74</v>
      </c>
      <c r="B7" s="1" t="s">
        <v>46</v>
      </c>
      <c r="C7" s="1" t="s">
        <v>9</v>
      </c>
      <c r="D7" s="11">
        <v>45302.531921296293</v>
      </c>
      <c r="E7" s="1" t="s">
        <v>47</v>
      </c>
      <c r="F7" s="1" t="s">
        <v>31</v>
      </c>
      <c r="G7" s="1" t="s">
        <v>30</v>
      </c>
      <c r="H7" s="6" t="s">
        <v>15</v>
      </c>
      <c r="I7" t="str" cm="1">
        <f t="array" ref="I7:J7">_xlfn.TEXTSPLIT(B7," ")</f>
        <v>Ryan</v>
      </c>
      <c r="J7" t="str">
        <v>Howard</v>
      </c>
      <c r="M7" t="b">
        <f t="shared" si="0"/>
        <v>1</v>
      </c>
      <c r="N7" t="str">
        <f t="shared" si="1"/>
        <v>0123553</v>
      </c>
    </row>
    <row r="8" spans="1:14" x14ac:dyDescent="0.3">
      <c r="A8" s="5" t="s">
        <v>75</v>
      </c>
      <c r="B8" s="1" t="s">
        <v>58</v>
      </c>
      <c r="C8" s="1" t="s">
        <v>5</v>
      </c>
      <c r="D8" s="11">
        <v>45354.687881944446</v>
      </c>
      <c r="E8" s="1" t="s">
        <v>59</v>
      </c>
      <c r="F8" s="1" t="s">
        <v>27</v>
      </c>
      <c r="G8" s="1" t="s">
        <v>26</v>
      </c>
      <c r="H8" s="6" t="s">
        <v>6</v>
      </c>
      <c r="I8" t="str" cm="1">
        <f t="array" ref="I8:J8">_xlfn.TEXTSPLIT(B8," ")</f>
        <v>Kevin</v>
      </c>
      <c r="J8" t="str">
        <v>Malone</v>
      </c>
      <c r="M8" t="b">
        <f t="shared" si="0"/>
        <v>1</v>
      </c>
      <c r="N8" t="str">
        <f t="shared" si="1"/>
        <v>0123554</v>
      </c>
    </row>
    <row r="9" spans="1:14" x14ac:dyDescent="0.3">
      <c r="A9" s="5" t="s">
        <v>76</v>
      </c>
      <c r="B9" s="1" t="s">
        <v>46</v>
      </c>
      <c r="C9" s="1" t="s">
        <v>1</v>
      </c>
      <c r="D9" s="11">
        <v>45408.340810185182</v>
      </c>
      <c r="E9" s="1" t="s">
        <v>47</v>
      </c>
      <c r="F9" s="1" t="s">
        <v>31</v>
      </c>
      <c r="G9" s="1" t="s">
        <v>30</v>
      </c>
      <c r="H9" s="6" t="s">
        <v>15</v>
      </c>
      <c r="I9" t="str" cm="1">
        <f t="array" ref="I9:J9">_xlfn.TEXTSPLIT(B9," ")</f>
        <v>Ryan</v>
      </c>
      <c r="J9" t="str">
        <v>Howard</v>
      </c>
      <c r="M9" t="b">
        <f t="shared" si="0"/>
        <v>1</v>
      </c>
      <c r="N9" t="str">
        <f t="shared" si="1"/>
        <v>0123555</v>
      </c>
    </row>
    <row r="10" spans="1:14" x14ac:dyDescent="0.3">
      <c r="A10" s="5" t="s">
        <v>77</v>
      </c>
      <c r="B10" s="1" t="s">
        <v>50</v>
      </c>
      <c r="C10" s="1" t="s">
        <v>7</v>
      </c>
      <c r="D10" s="11">
        <v>45458.743333333332</v>
      </c>
      <c r="E10" s="1" t="s">
        <v>51</v>
      </c>
      <c r="F10" s="1" t="s">
        <v>33</v>
      </c>
      <c r="G10" s="1" t="s">
        <v>26</v>
      </c>
      <c r="H10" s="6" t="s">
        <v>18</v>
      </c>
      <c r="I10" t="str" cm="1">
        <f t="array" ref="I10:J10">_xlfn.TEXTSPLIT(B10," ")</f>
        <v>Stanley</v>
      </c>
      <c r="J10" t="str">
        <v>Hudson</v>
      </c>
      <c r="M10" t="b">
        <f t="shared" si="0"/>
        <v>1</v>
      </c>
      <c r="N10" t="str">
        <f t="shared" si="1"/>
        <v>0123556</v>
      </c>
    </row>
    <row r="11" spans="1:14" x14ac:dyDescent="0.3">
      <c r="A11" s="5" t="s">
        <v>78</v>
      </c>
      <c r="B11" s="1" t="s">
        <v>54</v>
      </c>
      <c r="C11" s="1" t="s">
        <v>12</v>
      </c>
      <c r="D11" s="11">
        <v>45480.608055555553</v>
      </c>
      <c r="E11" s="1" t="s">
        <v>55</v>
      </c>
      <c r="F11" s="1" t="s">
        <v>33</v>
      </c>
      <c r="G11" s="1" t="s">
        <v>32</v>
      </c>
      <c r="H11" s="6" t="s">
        <v>13</v>
      </c>
      <c r="I11" t="str" cm="1">
        <f t="array" ref="I11:J11">_xlfn.TEXTSPLIT(B11," ")</f>
        <v>Angela</v>
      </c>
      <c r="J11" t="str">
        <v>Martin</v>
      </c>
      <c r="M11" t="b">
        <f t="shared" si="0"/>
        <v>1</v>
      </c>
      <c r="N11" t="str">
        <f t="shared" si="1"/>
        <v>0123557</v>
      </c>
    </row>
    <row r="12" spans="1:14" x14ac:dyDescent="0.3">
      <c r="A12" s="5" t="s">
        <v>79</v>
      </c>
      <c r="B12" s="1" t="s">
        <v>44</v>
      </c>
      <c r="C12" s="1" t="s">
        <v>7</v>
      </c>
      <c r="D12" s="11">
        <v>45455.284930555557</v>
      </c>
      <c r="E12" s="1" t="s">
        <v>45</v>
      </c>
      <c r="F12" s="1" t="s">
        <v>33</v>
      </c>
      <c r="G12" s="1" t="s">
        <v>34</v>
      </c>
      <c r="H12" s="6" t="s">
        <v>17</v>
      </c>
      <c r="I12" t="str" cm="1">
        <f t="array" ref="I12:J12">_xlfn.TEXTSPLIT(B12," ")</f>
        <v>Dwight</v>
      </c>
      <c r="J12" t="str">
        <v>Schrute</v>
      </c>
      <c r="M12" t="b">
        <f t="shared" si="0"/>
        <v>1</v>
      </c>
      <c r="N12" t="str">
        <f t="shared" si="1"/>
        <v>0123558</v>
      </c>
    </row>
    <row r="13" spans="1:14" x14ac:dyDescent="0.3">
      <c r="A13" s="5" t="s">
        <v>80</v>
      </c>
      <c r="B13" s="1" t="s">
        <v>56</v>
      </c>
      <c r="C13" s="1" t="s">
        <v>9</v>
      </c>
      <c r="D13" s="11">
        <v>44951.552141203705</v>
      </c>
      <c r="E13" s="1" t="s">
        <v>57</v>
      </c>
      <c r="F13" s="1" t="s">
        <v>35</v>
      </c>
      <c r="G13" s="1" t="s">
        <v>26</v>
      </c>
      <c r="H13" s="6" t="s">
        <v>16</v>
      </c>
      <c r="I13" t="str" cm="1">
        <f t="array" ref="I13:J13">_xlfn.TEXTSPLIT(B13," ")</f>
        <v>Oscar</v>
      </c>
      <c r="J13" t="str">
        <v>Martinez</v>
      </c>
      <c r="M13" t="b">
        <f t="shared" si="0"/>
        <v>1</v>
      </c>
      <c r="N13" t="str">
        <f t="shared" si="1"/>
        <v>0123559</v>
      </c>
    </row>
    <row r="14" spans="1:14" x14ac:dyDescent="0.3">
      <c r="A14" s="5" t="s">
        <v>81</v>
      </c>
      <c r="B14" s="1" t="s">
        <v>46</v>
      </c>
      <c r="C14" s="1" t="s">
        <v>12</v>
      </c>
      <c r="D14" s="11">
        <v>45002.490034722221</v>
      </c>
      <c r="E14" s="1" t="s">
        <v>47</v>
      </c>
      <c r="F14" s="1" t="s">
        <v>31</v>
      </c>
      <c r="G14" s="1" t="s">
        <v>30</v>
      </c>
      <c r="H14" s="6" t="s">
        <v>15</v>
      </c>
      <c r="I14" t="str" cm="1">
        <f t="array" ref="I14:J14">_xlfn.TEXTSPLIT(B14," ")</f>
        <v>Ryan</v>
      </c>
      <c r="J14" t="str">
        <v>Howard</v>
      </c>
      <c r="M14" t="b">
        <f t="shared" si="0"/>
        <v>1</v>
      </c>
      <c r="N14" t="str">
        <f t="shared" si="1"/>
        <v>0123560</v>
      </c>
    </row>
    <row r="15" spans="1:14" x14ac:dyDescent="0.3">
      <c r="A15" s="5" t="s">
        <v>82</v>
      </c>
      <c r="B15" s="1" t="s">
        <v>52</v>
      </c>
      <c r="C15" s="1" t="s">
        <v>9</v>
      </c>
      <c r="D15" s="11">
        <v>45078.417256944442</v>
      </c>
      <c r="E15" s="1" t="s">
        <v>53</v>
      </c>
      <c r="F15" s="1" t="s">
        <v>33</v>
      </c>
      <c r="G15" s="1" t="s">
        <v>26</v>
      </c>
      <c r="H15" s="6" t="s">
        <v>19</v>
      </c>
      <c r="I15" t="str" cm="1">
        <f t="array" ref="I15:J15">_xlfn.TEXTSPLIT(B15," ")</f>
        <v>Phyllis</v>
      </c>
      <c r="J15" t="str">
        <v>Vance</v>
      </c>
      <c r="M15" t="b">
        <f t="shared" si="0"/>
        <v>1</v>
      </c>
      <c r="N15" t="str">
        <f t="shared" si="1"/>
        <v>0123561</v>
      </c>
    </row>
    <row r="16" spans="1:14" x14ac:dyDescent="0.3">
      <c r="A16" s="5" t="s">
        <v>83</v>
      </c>
      <c r="B16" s="1" t="s">
        <v>60</v>
      </c>
      <c r="C16" s="1" t="s">
        <v>9</v>
      </c>
      <c r="D16" s="11">
        <v>45168.729328703703</v>
      </c>
      <c r="E16" s="1" t="s">
        <v>61</v>
      </c>
      <c r="F16" s="1" t="s">
        <v>28</v>
      </c>
      <c r="G16" s="1" t="s">
        <v>26</v>
      </c>
      <c r="H16" s="6" t="s">
        <v>20</v>
      </c>
      <c r="I16" t="str" cm="1">
        <f t="array" ref="I16:J16">_xlfn.TEXTSPLIT(B16," ")</f>
        <v>Meredith</v>
      </c>
      <c r="J16" t="str">
        <v>Palmer</v>
      </c>
      <c r="M16" t="b">
        <f t="shared" si="0"/>
        <v>1</v>
      </c>
      <c r="N16" t="str">
        <f t="shared" si="1"/>
        <v>0123562</v>
      </c>
    </row>
    <row r="17" spans="1:14" x14ac:dyDescent="0.3">
      <c r="A17" s="5" t="s">
        <v>84</v>
      </c>
      <c r="B17" s="1" t="s">
        <v>38</v>
      </c>
      <c r="C17" s="1" t="s">
        <v>7</v>
      </c>
      <c r="D17" s="11">
        <v>45218.319780092592</v>
      </c>
      <c r="E17" s="1" t="s">
        <v>39</v>
      </c>
      <c r="F17" s="1" t="s">
        <v>25</v>
      </c>
      <c r="G17" s="1" t="s">
        <v>37</v>
      </c>
      <c r="H17" s="6" t="s">
        <v>14</v>
      </c>
      <c r="I17" t="str" cm="1">
        <f t="array" ref="I17:J17">_xlfn.TEXTSPLIT(B17," ")</f>
        <v>Michael</v>
      </c>
      <c r="J17" t="str">
        <v>Scott</v>
      </c>
      <c r="M17" t="b">
        <f t="shared" si="0"/>
        <v>1</v>
      </c>
      <c r="N17" t="str">
        <f t="shared" si="1"/>
        <v>0123563</v>
      </c>
    </row>
    <row r="18" spans="1:14" x14ac:dyDescent="0.3">
      <c r="A18" s="5" t="s">
        <v>85</v>
      </c>
      <c r="B18" s="1" t="s">
        <v>40</v>
      </c>
      <c r="C18" s="1" t="s">
        <v>12</v>
      </c>
      <c r="D18" s="11">
        <v>45350.719236111108</v>
      </c>
      <c r="E18" s="1" t="s">
        <v>41</v>
      </c>
      <c r="F18" s="1" t="s">
        <v>29</v>
      </c>
      <c r="G18" s="1" t="s">
        <v>30</v>
      </c>
      <c r="H18" s="6" t="s">
        <v>10</v>
      </c>
      <c r="I18" t="str" cm="1">
        <f t="array" ref="I18:J18">_xlfn.TEXTSPLIT(B18," ")</f>
        <v>Jim</v>
      </c>
      <c r="J18" t="str">
        <v>Halpert</v>
      </c>
      <c r="M18" t="b">
        <f t="shared" si="0"/>
        <v>1</v>
      </c>
      <c r="N18" t="str">
        <f t="shared" si="1"/>
        <v>0123564</v>
      </c>
    </row>
    <row r="19" spans="1:14" x14ac:dyDescent="0.3">
      <c r="A19" s="5" t="s">
        <v>86</v>
      </c>
      <c r="B19" s="1" t="s">
        <v>48</v>
      </c>
      <c r="C19" s="1" t="s">
        <v>7</v>
      </c>
      <c r="D19" s="11">
        <v>45418.726354166669</v>
      </c>
      <c r="E19" s="1" t="s">
        <v>49</v>
      </c>
      <c r="F19" s="1" t="s">
        <v>28</v>
      </c>
      <c r="G19" s="1" t="s">
        <v>36</v>
      </c>
      <c r="H19" s="6" t="s">
        <v>8</v>
      </c>
      <c r="I19" t="str" cm="1">
        <f t="array" ref="I19:J19">_xlfn.TEXTSPLIT(B19," ")</f>
        <v>Kelly</v>
      </c>
      <c r="J19" t="str">
        <v>Kapoor</v>
      </c>
      <c r="M19" t="b">
        <f t="shared" si="0"/>
        <v>1</v>
      </c>
      <c r="N19" t="str">
        <f t="shared" si="1"/>
        <v>0123565</v>
      </c>
    </row>
    <row r="20" spans="1:14" x14ac:dyDescent="0.3">
      <c r="A20" s="5" t="s">
        <v>87</v>
      </c>
      <c r="B20" s="1" t="s">
        <v>40</v>
      </c>
      <c r="C20" s="1" t="s">
        <v>9</v>
      </c>
      <c r="D20" s="11">
        <v>45496.291701388887</v>
      </c>
      <c r="E20" s="1" t="s">
        <v>41</v>
      </c>
      <c r="F20" s="1" t="s">
        <v>29</v>
      </c>
      <c r="G20" s="1" t="s">
        <v>30</v>
      </c>
      <c r="H20" s="6" t="s">
        <v>10</v>
      </c>
      <c r="I20" t="str" cm="1">
        <f t="array" ref="I20:J20">_xlfn.TEXTSPLIT(B20," ")</f>
        <v>Jim</v>
      </c>
      <c r="J20" t="str">
        <v>Halpert</v>
      </c>
      <c r="M20" t="b">
        <f t="shared" si="0"/>
        <v>1</v>
      </c>
      <c r="N20" t="str">
        <f t="shared" si="1"/>
        <v>0123566</v>
      </c>
    </row>
    <row r="21" spans="1:14" ht="15" thickBot="1" x14ac:dyDescent="0.35">
      <c r="A21" s="5" t="s">
        <v>88</v>
      </c>
      <c r="B21" s="7" t="s">
        <v>40</v>
      </c>
      <c r="C21" s="7" t="s">
        <v>9</v>
      </c>
      <c r="D21" s="12">
        <v>45422.739884259259</v>
      </c>
      <c r="E21" s="7" t="s">
        <v>41</v>
      </c>
      <c r="F21" s="7" t="s">
        <v>29</v>
      </c>
      <c r="G21" s="7" t="s">
        <v>36</v>
      </c>
      <c r="H21" s="8" t="s">
        <v>10</v>
      </c>
      <c r="I21" t="str" cm="1">
        <f t="array" ref="I21:J21">_xlfn.TEXTSPLIT(B21," ")</f>
        <v>Jim</v>
      </c>
      <c r="J21" t="str">
        <v>Halpert</v>
      </c>
      <c r="M21" t="b">
        <f t="shared" si="0"/>
        <v>1</v>
      </c>
      <c r="N21" t="str">
        <f t="shared" si="1"/>
        <v>0123567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Text_Extraction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jeevani nallu</cp:lastModifiedBy>
  <dcterms:created xsi:type="dcterms:W3CDTF">2015-06-05T18:17:20Z</dcterms:created>
  <dcterms:modified xsi:type="dcterms:W3CDTF">2026-06-19T07:08:12Z</dcterms:modified>
</cp:coreProperties>
</file>