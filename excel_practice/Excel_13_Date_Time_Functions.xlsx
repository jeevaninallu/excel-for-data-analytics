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24C42714A07998F/Documents/AIDS/Excel/"/>
    </mc:Choice>
  </mc:AlternateContent>
  <xr:revisionPtr revIDLastSave="70" documentId="8_{CCDE2D8D-0A08-46FB-97D6-A0870EC706A2}" xr6:coauthVersionLast="47" xr6:coauthVersionMax="47" xr10:uidLastSave="{B40814C2-8A6F-4274-B434-5C1117480B5E}"/>
  <bookViews>
    <workbookView xWindow="-108" yWindow="-108" windowWidth="23256" windowHeight="13176" xr2:uid="{00000000-000D-0000-FFFF-FFFF00000000}"/>
  </bookViews>
  <sheets>
    <sheet name="Data" sheetId="8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2" i="8" l="1"/>
  <c r="AB23" i="8"/>
  <c r="AB24" i="8"/>
  <c r="AB25" i="8"/>
  <c r="AB21" i="8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" i="8"/>
  <c r="Z2" i="8" a="1"/>
  <c r="Z2" i="8" s="1"/>
  <c r="AA2" i="8" a="1"/>
  <c r="AA2" i="8" s="1"/>
  <c r="Y2" i="8" a="1"/>
  <c r="Y2" i="8" s="1"/>
  <c r="X2" i="8" a="1"/>
  <c r="X2" i="8" s="1"/>
  <c r="V2" i="8" a="1"/>
  <c r="V2" i="8" s="1"/>
  <c r="U2" i="8" a="1"/>
  <c r="U2" i="8" s="1"/>
  <c r="T2" i="8" a="1"/>
  <c r="T2" i="8" s="1"/>
  <c r="N2" i="8" a="1"/>
  <c r="N2" i="8" s="1"/>
  <c r="J2" i="8" a="1"/>
  <c r="J2" i="8" s="1"/>
  <c r="K2" i="8" a="1"/>
  <c r="K2" i="8" s="1"/>
  <c r="L2" i="8" a="1"/>
  <c r="L2" i="8" s="1"/>
  <c r="P2" i="8"/>
  <c r="R2" i="8" s="1" a="1"/>
  <c r="R2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<sst xmlns="http://schemas.openxmlformats.org/spreadsheetml/2006/main" count="161" uniqueCount="95">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</sst>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876771852934975E-2"/>
          <c:y val="0.15251471097391114"/>
          <c:w val="0.90275804399391202"/>
          <c:h val="0.7221260886701367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Data!$AB$1:$AB$25</c:f>
              <c:numCache>
                <c:formatCode>General</c:formatCode>
                <c:ptCount val="2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B7-4504-A712-429373C81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941392"/>
        <c:axId val="389942352"/>
      </c:scatterChart>
      <c:valAx>
        <c:axId val="38994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42352"/>
        <c:crosses val="autoZero"/>
        <c:crossBetween val="midCat"/>
      </c:valAx>
      <c:valAx>
        <c:axId val="38994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41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332432</xdr:colOff>
      <xdr:row>4</xdr:row>
      <xdr:rowOff>8805</xdr:rowOff>
    </xdr:from>
    <xdr:to>
      <xdr:col>36</xdr:col>
      <xdr:colOff>38106</xdr:colOff>
      <xdr:row>19</xdr:row>
      <xdr:rowOff>15243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2A772F-499E-B3E3-46E8-5CD705F74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topLeftCell="R2" zoomScale="93" zoomScaleNormal="190" workbookViewId="0">
      <selection activeCell="AF29" sqref="AF29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hidden="1" customWidth="1"/>
    <col min="6" max="6" width="11" hidden="1" customWidth="1"/>
    <col min="7" max="7" width="22" hidden="1" customWidth="1"/>
    <col min="8" max="8" width="40" hidden="1" customWidth="1"/>
    <col min="10" max="13" width="8.88671875" customWidth="1"/>
    <col min="14" max="14" width="14.21875" customWidth="1"/>
    <col min="15" max="15" width="8.88671875" customWidth="1"/>
    <col min="16" max="16" width="11.77734375" customWidth="1"/>
    <col min="17" max="17" width="8.88671875" customWidth="1"/>
    <col min="18" max="18" width="16" customWidth="1"/>
    <col min="19" max="19" width="8.88671875" customWidth="1"/>
    <col min="20" max="20" width="10.109375" customWidth="1"/>
    <col min="21" max="23" width="8.88671875" customWidth="1"/>
    <col min="24" max="24" width="14.33203125" customWidth="1"/>
    <col min="25" max="25" width="16.6640625" customWidth="1"/>
    <col min="26" max="26" width="8.88671875" customWidth="1"/>
    <col min="27" max="27" width="13.6640625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6"/>
      <c r="J1" s="14" t="s">
        <v>84</v>
      </c>
      <c r="K1" s="14" t="s">
        <v>88</v>
      </c>
      <c r="L1" s="14" t="s">
        <v>85</v>
      </c>
      <c r="N1" s="14" t="s">
        <v>22</v>
      </c>
      <c r="P1" s="14" t="s">
        <v>87</v>
      </c>
      <c r="R1" s="14" t="s">
        <v>89</v>
      </c>
      <c r="T1" s="14" t="s">
        <v>90</v>
      </c>
      <c r="U1" s="14" t="s">
        <v>91</v>
      </c>
      <c r="V1" s="14" t="s">
        <v>92</v>
      </c>
      <c r="X1" s="14" t="s">
        <v>94</v>
      </c>
      <c r="Y1" s="14" t="s">
        <v>94</v>
      </c>
      <c r="Z1" s="14" t="s">
        <v>90</v>
      </c>
      <c r="AA1" s="14" t="s">
        <v>93</v>
      </c>
      <c r="AB1" s="15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 cm="1">
        <f t="array" ref="J2:J21">MONTH(D2:D21)</f>
        <v>2</v>
      </c>
      <c r="K2" cm="1">
        <f t="array" ref="K2:K21">DAY(D2:D21)</f>
        <v>14</v>
      </c>
      <c r="L2" cm="1">
        <f t="array" ref="L2:L21">YEAR(D2:D21)</f>
        <v>2023</v>
      </c>
      <c r="N2" s="9" cm="1">
        <f t="array" ref="N2:N21">DATE(L2:L21,J2:J21,K2:K21)</f>
        <v>44971</v>
      </c>
      <c r="P2" s="9">
        <f ca="1">TODAY()</f>
        <v>46193</v>
      </c>
      <c r="R2" cm="1">
        <f t="array" aca="1" ref="R2:R21" ca="1">DATEDIF(N2:N21,$P$2,"D")</f>
        <v>1222</v>
      </c>
      <c r="T2" cm="1">
        <f t="array" ref="T2:T21">HOUR(D2:D21)</f>
        <v>15</v>
      </c>
      <c r="U2" cm="1">
        <f t="array" ref="U2:U21">MINUTE(D2:D21)</f>
        <v>22</v>
      </c>
      <c r="V2" cm="1">
        <f t="array" ref="V2:V21">SECOND(D2:D21)</f>
        <v>15</v>
      </c>
      <c r="X2" s="13" cm="1">
        <f t="array" ref="X2:X21">TIME(T2:T21,U2:U21,V2:V21)</f>
        <v>0.64045138888888886</v>
      </c>
      <c r="Y2" t="str" cm="1">
        <f t="array" ref="Y2:Y21">TEXT(D2:D21,"HH:MM")</f>
        <v>15:22</v>
      </c>
      <c r="Z2" cm="1">
        <f t="array" ref="Z2:Z21">HOUR(D2:D21)</f>
        <v>15</v>
      </c>
      <c r="AA2" cm="1">
        <f t="array" ref="AA2:AA25">_xlfn.SEQUENCE(24,,1)</f>
        <v>1</v>
      </c>
      <c r="AB2">
        <f>COUNTIF(_xlfn.ANCHORARRAY($Z$2),AA2)</f>
        <v>0</v>
      </c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v>5</v>
      </c>
      <c r="K3">
        <v>9</v>
      </c>
      <c r="L3">
        <v>2023</v>
      </c>
      <c r="N3" s="9">
        <v>45055</v>
      </c>
      <c r="R3">
        <f ca="1"/>
        <v>1138</v>
      </c>
      <c r="T3">
        <v>9</v>
      </c>
      <c r="U3">
        <v>45</v>
      </c>
      <c r="V3">
        <v>32</v>
      </c>
      <c r="X3" s="13">
        <v>0.40662037037037035</v>
      </c>
      <c r="Y3" t="str">
        <v>09:45</v>
      </c>
      <c r="Z3">
        <v>9</v>
      </c>
      <c r="AA3">
        <v>2</v>
      </c>
      <c r="AB3">
        <f t="shared" ref="AB3:AB20" si="0">COUNTIF(_xlfn.ANCHORARRAY($Z$2),AA3)</f>
        <v>0</v>
      </c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v>7</v>
      </c>
      <c r="K4">
        <v>21</v>
      </c>
      <c r="L4">
        <v>2023</v>
      </c>
      <c r="N4" s="9">
        <v>45128</v>
      </c>
      <c r="R4">
        <f ca="1"/>
        <v>1065</v>
      </c>
      <c r="T4">
        <v>17</v>
      </c>
      <c r="U4">
        <v>30</v>
      </c>
      <c r="V4">
        <v>47</v>
      </c>
      <c r="X4" s="13">
        <v>0.72971064814814812</v>
      </c>
      <c r="Y4" t="str">
        <v>17:30</v>
      </c>
      <c r="Z4">
        <v>17</v>
      </c>
      <c r="AA4">
        <v>3</v>
      </c>
      <c r="AB4">
        <f t="shared" si="0"/>
        <v>0</v>
      </c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v>9</v>
      </c>
      <c r="K5">
        <v>4</v>
      </c>
      <c r="L5">
        <v>2023</v>
      </c>
      <c r="N5" s="9">
        <v>45173</v>
      </c>
      <c r="R5">
        <f ca="1"/>
        <v>1020</v>
      </c>
      <c r="T5">
        <v>7</v>
      </c>
      <c r="U5">
        <v>15</v>
      </c>
      <c r="V5">
        <v>9</v>
      </c>
      <c r="X5" s="13">
        <v>0.3021875</v>
      </c>
      <c r="Y5" t="str">
        <v>07:15</v>
      </c>
      <c r="Z5">
        <v>7</v>
      </c>
      <c r="AA5">
        <v>4</v>
      </c>
      <c r="AB5">
        <f t="shared" si="0"/>
        <v>0</v>
      </c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v>11</v>
      </c>
      <c r="K6">
        <v>18</v>
      </c>
      <c r="L6">
        <v>2023</v>
      </c>
      <c r="N6" s="9">
        <v>45248</v>
      </c>
      <c r="R6">
        <f ca="1"/>
        <v>945</v>
      </c>
      <c r="T6">
        <v>17</v>
      </c>
      <c r="U6">
        <v>0</v>
      </c>
      <c r="V6">
        <v>21</v>
      </c>
      <c r="X6" s="13">
        <v>0.70857638888888885</v>
      </c>
      <c r="Y6" t="str">
        <v>17:00</v>
      </c>
      <c r="Z6">
        <v>17</v>
      </c>
      <c r="AA6">
        <v>5</v>
      </c>
      <c r="AB6">
        <f t="shared" si="0"/>
        <v>0</v>
      </c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v>1</v>
      </c>
      <c r="K7">
        <v>11</v>
      </c>
      <c r="L7">
        <v>2024</v>
      </c>
      <c r="N7" s="9">
        <v>45302</v>
      </c>
      <c r="R7">
        <f ca="1"/>
        <v>891</v>
      </c>
      <c r="T7">
        <v>12</v>
      </c>
      <c r="U7">
        <v>45</v>
      </c>
      <c r="V7">
        <v>58</v>
      </c>
      <c r="X7" s="13">
        <v>0.53192129629629625</v>
      </c>
      <c r="Y7" t="str">
        <v>12:45</v>
      </c>
      <c r="Z7">
        <v>12</v>
      </c>
      <c r="AA7">
        <v>6</v>
      </c>
      <c r="AB7">
        <f t="shared" si="0"/>
        <v>1</v>
      </c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v>3</v>
      </c>
      <c r="K8">
        <v>3</v>
      </c>
      <c r="L8">
        <v>2024</v>
      </c>
      <c r="N8" s="9">
        <v>45354</v>
      </c>
      <c r="R8">
        <f ca="1"/>
        <v>839</v>
      </c>
      <c r="T8">
        <v>16</v>
      </c>
      <c r="U8">
        <v>30</v>
      </c>
      <c r="V8">
        <v>33</v>
      </c>
      <c r="X8" s="13">
        <v>0.68788194444444439</v>
      </c>
      <c r="Y8" t="str">
        <v>16:30</v>
      </c>
      <c r="Z8">
        <v>16</v>
      </c>
      <c r="AA8">
        <v>7</v>
      </c>
      <c r="AB8">
        <f t="shared" si="0"/>
        <v>3</v>
      </c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v>4</v>
      </c>
      <c r="K9">
        <v>26</v>
      </c>
      <c r="L9">
        <v>2024</v>
      </c>
      <c r="N9" s="9">
        <v>45408</v>
      </c>
      <c r="R9">
        <f ca="1"/>
        <v>785</v>
      </c>
      <c r="T9">
        <v>8</v>
      </c>
      <c r="U9">
        <v>10</v>
      </c>
      <c r="V9">
        <v>46</v>
      </c>
      <c r="X9" s="13">
        <v>0.34081018518518519</v>
      </c>
      <c r="Y9" t="str">
        <v>08:10</v>
      </c>
      <c r="Z9">
        <v>8</v>
      </c>
      <c r="AA9">
        <v>8</v>
      </c>
      <c r="AB9">
        <f t="shared" si="0"/>
        <v>1</v>
      </c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v>6</v>
      </c>
      <c r="K10">
        <v>15</v>
      </c>
      <c r="L10">
        <v>2024</v>
      </c>
      <c r="N10" s="9">
        <v>45458</v>
      </c>
      <c r="R10">
        <f ca="1"/>
        <v>735</v>
      </c>
      <c r="T10">
        <v>17</v>
      </c>
      <c r="U10">
        <v>50</v>
      </c>
      <c r="V10">
        <v>24</v>
      </c>
      <c r="X10" s="13">
        <v>0.74333333333333329</v>
      </c>
      <c r="Y10" t="str">
        <v>17:50</v>
      </c>
      <c r="Z10">
        <v>17</v>
      </c>
      <c r="AA10">
        <v>9</v>
      </c>
      <c r="AB10">
        <f t="shared" si="0"/>
        <v>1</v>
      </c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v>7</v>
      </c>
      <c r="K11">
        <v>7</v>
      </c>
      <c r="L11">
        <v>2024</v>
      </c>
      <c r="N11" s="9">
        <v>45480</v>
      </c>
      <c r="R11">
        <f ca="1"/>
        <v>713</v>
      </c>
      <c r="T11">
        <v>14</v>
      </c>
      <c r="U11">
        <v>35</v>
      </c>
      <c r="V11">
        <v>36</v>
      </c>
      <c r="X11" s="13">
        <v>0.60805555555555557</v>
      </c>
      <c r="Y11" t="str">
        <v>14:35</v>
      </c>
      <c r="Z11">
        <v>14</v>
      </c>
      <c r="AA11">
        <v>10</v>
      </c>
      <c r="AB11">
        <f t="shared" si="0"/>
        <v>1</v>
      </c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v>6</v>
      </c>
      <c r="K12">
        <v>12</v>
      </c>
      <c r="L12">
        <v>2024</v>
      </c>
      <c r="N12" s="9">
        <v>45455</v>
      </c>
      <c r="R12">
        <f ca="1"/>
        <v>738</v>
      </c>
      <c r="T12">
        <v>6</v>
      </c>
      <c r="U12">
        <v>50</v>
      </c>
      <c r="V12">
        <v>18</v>
      </c>
      <c r="X12" s="13">
        <v>0.28493055555555558</v>
      </c>
      <c r="Y12" t="str">
        <v>06:50</v>
      </c>
      <c r="Z12">
        <v>6</v>
      </c>
      <c r="AA12">
        <v>11</v>
      </c>
      <c r="AB12">
        <f t="shared" si="0"/>
        <v>1</v>
      </c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v>1</v>
      </c>
      <c r="K13">
        <v>25</v>
      </c>
      <c r="L13">
        <v>2023</v>
      </c>
      <c r="N13" s="9">
        <v>44951</v>
      </c>
      <c r="R13">
        <f ca="1"/>
        <v>1242</v>
      </c>
      <c r="T13">
        <v>13</v>
      </c>
      <c r="U13">
        <v>15</v>
      </c>
      <c r="V13">
        <v>5</v>
      </c>
      <c r="X13" s="13">
        <v>0.55214120370370368</v>
      </c>
      <c r="Y13" t="str">
        <v>13:15</v>
      </c>
      <c r="Z13">
        <v>13</v>
      </c>
      <c r="AA13">
        <v>12</v>
      </c>
      <c r="AB13">
        <f t="shared" si="0"/>
        <v>1</v>
      </c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v>3</v>
      </c>
      <c r="K14">
        <v>17</v>
      </c>
      <c r="L14">
        <v>2023</v>
      </c>
      <c r="N14" s="9">
        <v>45002</v>
      </c>
      <c r="R14">
        <f ca="1"/>
        <v>1191</v>
      </c>
      <c r="T14">
        <v>11</v>
      </c>
      <c r="U14">
        <v>45</v>
      </c>
      <c r="V14">
        <v>39</v>
      </c>
      <c r="X14" s="13">
        <v>0.49003472222222222</v>
      </c>
      <c r="Y14" t="str">
        <v>11:45</v>
      </c>
      <c r="Z14">
        <v>11</v>
      </c>
      <c r="AA14">
        <v>13</v>
      </c>
      <c r="AB14">
        <f t="shared" si="0"/>
        <v>1</v>
      </c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v>6</v>
      </c>
      <c r="K15">
        <v>1</v>
      </c>
      <c r="L15">
        <v>2023</v>
      </c>
      <c r="N15" s="9">
        <v>45078</v>
      </c>
      <c r="R15">
        <f ca="1"/>
        <v>1115</v>
      </c>
      <c r="T15">
        <v>10</v>
      </c>
      <c r="U15">
        <v>0</v>
      </c>
      <c r="V15">
        <v>51</v>
      </c>
      <c r="X15" s="13">
        <v>0.41725694444444444</v>
      </c>
      <c r="Y15" t="str">
        <v>10:00</v>
      </c>
      <c r="Z15">
        <v>10</v>
      </c>
      <c r="AA15">
        <v>14</v>
      </c>
      <c r="AB15">
        <f t="shared" si="0"/>
        <v>1</v>
      </c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v>8</v>
      </c>
      <c r="K16">
        <v>30</v>
      </c>
      <c r="L16">
        <v>2023</v>
      </c>
      <c r="N16" s="9">
        <v>45168</v>
      </c>
      <c r="R16">
        <f ca="1"/>
        <v>1025</v>
      </c>
      <c r="T16">
        <v>17</v>
      </c>
      <c r="U16">
        <v>30</v>
      </c>
      <c r="V16">
        <v>14</v>
      </c>
      <c r="X16" s="13">
        <v>0.72932870370370373</v>
      </c>
      <c r="Y16" t="str">
        <v>17:30</v>
      </c>
      <c r="Z16">
        <v>17</v>
      </c>
      <c r="AA16">
        <v>15</v>
      </c>
      <c r="AB16">
        <f t="shared" si="0"/>
        <v>1</v>
      </c>
    </row>
    <row r="17" spans="1:2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v>10</v>
      </c>
      <c r="K17">
        <v>19</v>
      </c>
      <c r="L17">
        <v>2023</v>
      </c>
      <c r="N17" s="9">
        <v>45218</v>
      </c>
      <c r="R17">
        <f ca="1"/>
        <v>975</v>
      </c>
      <c r="T17">
        <v>7</v>
      </c>
      <c r="U17">
        <v>40</v>
      </c>
      <c r="V17">
        <v>29</v>
      </c>
      <c r="X17" s="13">
        <v>0.3197800925925926</v>
      </c>
      <c r="Y17" t="str">
        <v>07:40</v>
      </c>
      <c r="Z17">
        <v>7</v>
      </c>
      <c r="AA17">
        <v>16</v>
      </c>
      <c r="AB17">
        <f t="shared" si="0"/>
        <v>1</v>
      </c>
    </row>
    <row r="18" spans="1:2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v>2</v>
      </c>
      <c r="K18">
        <v>28</v>
      </c>
      <c r="L18">
        <v>2024</v>
      </c>
      <c r="N18" s="9">
        <v>45350</v>
      </c>
      <c r="R18">
        <f ca="1"/>
        <v>843</v>
      </c>
      <c r="T18">
        <v>17</v>
      </c>
      <c r="U18">
        <v>15</v>
      </c>
      <c r="V18">
        <v>42</v>
      </c>
      <c r="X18" s="13">
        <v>0.71923611111111108</v>
      </c>
      <c r="Y18" t="str">
        <v>17:15</v>
      </c>
      <c r="Z18">
        <v>17</v>
      </c>
      <c r="AA18">
        <v>17</v>
      </c>
      <c r="AB18">
        <f t="shared" si="0"/>
        <v>7</v>
      </c>
    </row>
    <row r="19" spans="1:2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v>5</v>
      </c>
      <c r="K19">
        <v>6</v>
      </c>
      <c r="L19">
        <v>2024</v>
      </c>
      <c r="N19" s="9">
        <v>45418</v>
      </c>
      <c r="R19">
        <f ca="1"/>
        <v>775</v>
      </c>
      <c r="T19">
        <v>17</v>
      </c>
      <c r="U19">
        <v>25</v>
      </c>
      <c r="V19">
        <v>57</v>
      </c>
      <c r="X19" s="13">
        <v>0.72635416666666663</v>
      </c>
      <c r="Y19" t="str">
        <v>17:25</v>
      </c>
      <c r="Z19">
        <v>17</v>
      </c>
      <c r="AA19">
        <v>18</v>
      </c>
      <c r="AB19">
        <f t="shared" si="0"/>
        <v>0</v>
      </c>
    </row>
    <row r="20" spans="1:2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v>7</v>
      </c>
      <c r="K20">
        <v>23</v>
      </c>
      <c r="L20">
        <v>2024</v>
      </c>
      <c r="N20" s="9">
        <v>45496</v>
      </c>
      <c r="R20">
        <f ca="1"/>
        <v>697</v>
      </c>
      <c r="T20">
        <v>7</v>
      </c>
      <c r="U20">
        <v>0</v>
      </c>
      <c r="V20">
        <v>3</v>
      </c>
      <c r="X20" s="13">
        <v>0.29170138888888891</v>
      </c>
      <c r="Y20" t="str">
        <v>07:00</v>
      </c>
      <c r="Z20">
        <v>7</v>
      </c>
      <c r="AA20">
        <v>19</v>
      </c>
      <c r="AB20">
        <f t="shared" si="0"/>
        <v>0</v>
      </c>
    </row>
    <row r="21" spans="1:2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v>5</v>
      </c>
      <c r="K21">
        <v>10</v>
      </c>
      <c r="L21">
        <v>2024</v>
      </c>
      <c r="N21" s="9">
        <v>45422</v>
      </c>
      <c r="R21">
        <f ca="1"/>
        <v>771</v>
      </c>
      <c r="T21">
        <v>17</v>
      </c>
      <c r="U21">
        <v>45</v>
      </c>
      <c r="V21">
        <v>26</v>
      </c>
      <c r="X21" s="13">
        <v>0.73988425925925927</v>
      </c>
      <c r="Y21" t="str">
        <v>17:45</v>
      </c>
      <c r="Z21">
        <v>17</v>
      </c>
      <c r="AA21">
        <v>20</v>
      </c>
      <c r="AB21">
        <f>COUNTIF(_xlfn.ANCHORARRAY($Z$2),AA21)</f>
        <v>0</v>
      </c>
    </row>
    <row r="22" spans="1:28" x14ac:dyDescent="0.3">
      <c r="N22" s="9"/>
      <c r="AA22">
        <v>21</v>
      </c>
      <c r="AB22">
        <f t="shared" ref="AB22:AB25" si="1">COUNTIF(_xlfn.ANCHORARRAY($Z$2),AA22)</f>
        <v>0</v>
      </c>
    </row>
    <row r="23" spans="1:28" x14ac:dyDescent="0.3">
      <c r="AA23">
        <v>22</v>
      </c>
      <c r="AB23">
        <f t="shared" si="1"/>
        <v>0</v>
      </c>
    </row>
    <row r="24" spans="1:28" x14ac:dyDescent="0.3">
      <c r="AA24">
        <v>23</v>
      </c>
      <c r="AB24">
        <f t="shared" si="1"/>
        <v>0</v>
      </c>
    </row>
    <row r="25" spans="1:28" x14ac:dyDescent="0.3">
      <c r="AA25">
        <v>24</v>
      </c>
      <c r="AB25">
        <f t="shared" si="1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jeevani nallu</cp:lastModifiedBy>
  <dcterms:created xsi:type="dcterms:W3CDTF">2015-06-05T18:17:20Z</dcterms:created>
  <dcterms:modified xsi:type="dcterms:W3CDTF">2026-06-20T10:58:41Z</dcterms:modified>
</cp:coreProperties>
</file>