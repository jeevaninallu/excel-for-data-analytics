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116" documentId="13_ncr:1_{C309F530-9477-46F8-BC41-B3020D3E60A4}" xr6:coauthVersionLast="47" xr6:coauthVersionMax="47" xr10:uidLastSave="{0FA30854-DCB4-43A4-89B1-D6EAEF78B1EF}"/>
  <bookViews>
    <workbookView xWindow="-108" yWindow="-108" windowWidth="23256" windowHeight="13176" firstSheet="1" activeTab="5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 Summary" sheetId="16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adj" localSheetId="2" hidden="1">'What-If_Analysis'!$C$4,'What-If_Analysis'!$C$5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'What-If_Analysis'!$C$14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<sst xmlns="http://schemas.openxmlformats.org/spreadsheetml/2006/main" count="120" uniqueCount="80">
  <si>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</si>
  <si>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</si>
  <si>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</si>
  <si>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</si>
  <si>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</si>
  <si>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</si>
  <si>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</si>
  <si>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</si>
  <si>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</si>
  <si>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</si>
  <si>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</si>
  <si>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</si>
  <si>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</si>
  <si>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</si>
  <si>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</si>
  <si>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</si>
  <si>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</si>
  <si>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</si>
  <si>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Job 2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</si>
  <si>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</si>
  <si>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</si>
  <si>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</si>
  <si>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</si>
  <si>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</si>
  <si>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</si>
  <si>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</si>
  <si>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</si>
  <si>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</si>
  <si>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</si>
  <si>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</si>
  <si>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</si>
  <si>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</si>
  <si>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</si>
  <si>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</si>
  <si>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</si>
  <si>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</si>
  <si>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</si>
  <si>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</si>
  <si>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</si>
  <si>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</si>
  <si>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</si>
  <si>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</si>
  <si>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</si>
  <si>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</si>
  <si>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</si>
  <si>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</si>
  <si>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</si>
  <si>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</si>
  <si>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</si>
  <si>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</si>
  <si>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</si>
  <si>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</si>
  <si>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</si>
  <si>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</si>
  <si>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</si>
  <si>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</si>
  <si>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</si>
  <si>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</si>
  <si>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</si>
  <si>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</si>
  <si>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</si>
  <si>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</si>
  <si>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</si>
  <si>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</si>
  <si>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</si>
  <si>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</si>
  <si>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</si>
  <si>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</si>
  <si>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</si>
  <si>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</si>
  <si>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</si>
  <si>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</si>
  <si>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</si>
  <si>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</si>
  <si>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</si>
  <si>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</si>
  <si>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</si>
  <si>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jeevani nallu on 19-07-2026</t>
  </si>
  <si>
    <t>Job2</t>
  </si>
  <si>
    <t>Job3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</si>
</sst>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68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A5" sqref="A5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M51" sqref="M51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5" sqref="C5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55" t="s">
        <v>4</v>
      </c>
      <c r="C2" s="56"/>
      <c r="E2" s="30" t="s">
        <v>28</v>
      </c>
      <c r="F2" s="31" t="s">
        <v>0</v>
      </c>
      <c r="G2" s="31" t="s">
        <v>1</v>
      </c>
      <c r="H2" s="32" t="s">
        <v>2</v>
      </c>
    </row>
    <row r="3" spans="2:8" x14ac:dyDescent="0.3">
      <c r="B3" s="1" t="s">
        <v>0</v>
      </c>
      <c r="C3" s="35">
        <v>100000</v>
      </c>
      <c r="E3" s="33" t="s">
        <v>17</v>
      </c>
      <c r="F3" s="28">
        <v>100000</v>
      </c>
      <c r="G3" s="29">
        <v>0.1</v>
      </c>
      <c r="H3" s="34">
        <v>1.4999999999999999E-2</v>
      </c>
    </row>
    <row r="4" spans="2:8" x14ac:dyDescent="0.3">
      <c r="B4" s="1" t="s">
        <v>1</v>
      </c>
      <c r="C4" s="36">
        <v>0</v>
      </c>
      <c r="E4" s="33" t="s">
        <v>18</v>
      </c>
      <c r="F4" s="28">
        <v>80000</v>
      </c>
      <c r="G4" s="29">
        <v>0.15</v>
      </c>
      <c r="H4" s="34">
        <v>1.2E-2</v>
      </c>
    </row>
    <row r="5" spans="2:8" ht="15" thickBot="1" x14ac:dyDescent="0.35">
      <c r="B5" s="3" t="s">
        <v>2</v>
      </c>
      <c r="C5" s="37">
        <v>1.4999999999999999E-2</v>
      </c>
      <c r="E5" s="47" t="s">
        <v>19</v>
      </c>
      <c r="F5" s="48">
        <v>120000</v>
      </c>
      <c r="G5" s="49">
        <v>0.05</v>
      </c>
      <c r="H5" s="50">
        <v>8.0000000000000002E-3</v>
      </c>
    </row>
    <row r="6" spans="2:8" ht="29.4" thickBot="1" x14ac:dyDescent="0.35">
      <c r="E6" s="51" t="s">
        <v>75</v>
      </c>
      <c r="F6" s="52" t="e">
        <f>NA()</f>
        <v>#N/A</v>
      </c>
      <c r="G6" s="53">
        <v>0.25</v>
      </c>
      <c r="H6" s="54">
        <v>0.04</v>
      </c>
    </row>
    <row r="7" spans="2:8" x14ac:dyDescent="0.3">
      <c r="B7" s="55" t="s">
        <v>5</v>
      </c>
      <c r="C7" s="5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100000</v>
      </c>
    </row>
    <row r="10" spans="2:8" x14ac:dyDescent="0.3">
      <c r="B10" s="4">
        <v>1</v>
      </c>
      <c r="C10" s="2">
        <f>(base*(1+raise)^B10)*(1+bonus)</f>
        <v>101499.99999999999</v>
      </c>
    </row>
    <row r="11" spans="2:8" x14ac:dyDescent="0.3">
      <c r="B11" s="4">
        <v>2</v>
      </c>
      <c r="C11" s="2">
        <f>(base*(1+raise)^B11)*(1+bonus)</f>
        <v>103022.49999999997</v>
      </c>
    </row>
    <row r="12" spans="2:8" x14ac:dyDescent="0.3">
      <c r="B12" s="4">
        <v>3</v>
      </c>
      <c r="C12" s="2">
        <f>(base*(1+raise)^B12)*(1+bonus)</f>
        <v>104567.83749999997</v>
      </c>
    </row>
    <row r="13" spans="2:8" ht="15" thickBot="1" x14ac:dyDescent="0.35">
      <c r="B13" s="26">
        <v>4</v>
      </c>
      <c r="C13" s="27">
        <f>(base*(1+raise)^B13)*(1+bonus)</f>
        <v>106136.35506249995</v>
      </c>
    </row>
    <row r="14" spans="2:8" ht="15.6" thickTop="1" thickBot="1" x14ac:dyDescent="0.35">
      <c r="B14" s="24" t="s">
        <v>3</v>
      </c>
      <c r="C14" s="25">
        <f>SUM(C9:C13)</f>
        <v>515226.6925624999</v>
      </c>
    </row>
  </sheetData>
  <scenarios current="0" sqref="C9:C14">
    <scenario name="Job1" locked="1" count="3" user="jeevani nallu" comment="Created by jeevani nallu on 19-07-2026">
      <inputCells r="C3" val="100000" numFmtId="165"/>
      <inputCells r="C4" val="0.1" numFmtId="9"/>
      <inputCells r="C5" val="0.015" numFmtId="166"/>
    </scenario>
    <scenario name="Job2" locked="1" count="3" user="jeevani nallu" comment="Created by jeevani nallu on 19-07-2026">
      <inputCells r="C3" val="80000" numFmtId="165"/>
      <inputCells r="C4" val="1.5" numFmtId="9"/>
      <inputCells r="C5" val="0.012" numFmtId="166"/>
    </scenario>
    <scenario name="Job3" locked="1" count="3" user="jeevani nallu" comment="Created by jeevani nallu on 19-07-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7D42-2FD3-46E1-AFF8-C2C711C1CB93}">
  <sheetPr>
    <outlinePr summaryBelow="0"/>
  </sheetPr>
  <dimension ref="B1:G18"/>
  <sheetViews>
    <sheetView showGridLines="0" workbookViewId="0">
      <selection activeCell="D6" sqref="D6"/>
    </sheetView>
  </sheetViews>
  <sheetFormatPr defaultRowHeight="14.4" outlineLevelRow="1" outlineLevelCol="1" x14ac:dyDescent="0.3"/>
  <cols>
    <col min="3" max="3" width="10.33203125" bestFit="1" customWidth="1"/>
    <col min="4" max="7" width="12.6640625" customWidth="1" outlineLevel="1"/>
  </cols>
  <sheetData>
    <row r="1" spans="2:7" ht="15" thickBot="1" x14ac:dyDescent="0.35"/>
    <row r="2" spans="2:7" ht="15.6" x14ac:dyDescent="0.3">
      <c r="B2" s="19" t="s">
        <v>20</v>
      </c>
      <c r="C2" s="19"/>
      <c r="D2" s="22"/>
      <c r="E2" s="22"/>
      <c r="F2" s="22"/>
      <c r="G2" s="22"/>
    </row>
    <row r="3" spans="2:7" ht="15.6" x14ac:dyDescent="0.3">
      <c r="B3" s="18"/>
      <c r="C3" s="18"/>
      <c r="D3" s="23" t="s">
        <v>22</v>
      </c>
      <c r="E3" s="23" t="s">
        <v>76</v>
      </c>
      <c r="F3" s="23" t="s">
        <v>78</v>
      </c>
      <c r="G3" s="23" t="s">
        <v>79</v>
      </c>
    </row>
    <row r="4" spans="2:7" ht="32.4" outlineLevel="1" x14ac:dyDescent="0.3">
      <c r="B4" s="63"/>
      <c r="C4" s="63"/>
      <c r="D4" s="57"/>
      <c r="E4" s="67" t="s">
        <v>77</v>
      </c>
      <c r="F4" s="67" t="s">
        <v>77</v>
      </c>
      <c r="G4" s="67" t="s">
        <v>77</v>
      </c>
    </row>
    <row r="5" spans="2:7" x14ac:dyDescent="0.3">
      <c r="B5" s="20" t="s">
        <v>21</v>
      </c>
      <c r="C5" s="20"/>
      <c r="D5" s="62"/>
      <c r="E5" s="62"/>
      <c r="F5" s="62"/>
      <c r="G5" s="62"/>
    </row>
    <row r="6" spans="2:7" outlineLevel="1" x14ac:dyDescent="0.3">
      <c r="B6" s="63"/>
      <c r="C6" s="63" t="s">
        <v>14</v>
      </c>
      <c r="D6" s="58">
        <v>100000</v>
      </c>
      <c r="E6" s="64">
        <v>100000</v>
      </c>
      <c r="F6" s="64">
        <v>80000</v>
      </c>
      <c r="G6" s="64">
        <v>120000</v>
      </c>
    </row>
    <row r="7" spans="2:7" outlineLevel="1" x14ac:dyDescent="0.3">
      <c r="B7" s="63"/>
      <c r="C7" s="63" t="s">
        <v>15</v>
      </c>
      <c r="D7" s="59">
        <v>0.1</v>
      </c>
      <c r="E7" s="65">
        <v>0.1</v>
      </c>
      <c r="F7" s="65">
        <v>1.5</v>
      </c>
      <c r="G7" s="65">
        <v>0.05</v>
      </c>
    </row>
    <row r="8" spans="2:7" outlineLevel="1" x14ac:dyDescent="0.3">
      <c r="B8" s="63"/>
      <c r="C8" s="63" t="s">
        <v>16</v>
      </c>
      <c r="D8" s="60">
        <v>1.4999999999999999E-2</v>
      </c>
      <c r="E8" s="66">
        <v>1.4999999999999999E-2</v>
      </c>
      <c r="F8" s="66">
        <v>1.2E-2</v>
      </c>
      <c r="G8" s="66">
        <v>8.0000000000000002E-3</v>
      </c>
    </row>
    <row r="9" spans="2:7" x14ac:dyDescent="0.3">
      <c r="B9" s="20" t="s">
        <v>23</v>
      </c>
      <c r="C9" s="20"/>
      <c r="D9" s="62"/>
      <c r="E9" s="62"/>
      <c r="F9" s="62"/>
      <c r="G9" s="62"/>
    </row>
    <row r="10" spans="2:7" outlineLevel="1" x14ac:dyDescent="0.3">
      <c r="B10" s="63"/>
      <c r="C10" s="63" t="s">
        <v>29</v>
      </c>
      <c r="D10" s="58">
        <v>110000</v>
      </c>
      <c r="E10" s="58">
        <v>110000</v>
      </c>
      <c r="F10" s="58">
        <v>110000</v>
      </c>
      <c r="G10" s="58">
        <v>110000</v>
      </c>
    </row>
    <row r="11" spans="2:7" outlineLevel="1" x14ac:dyDescent="0.3">
      <c r="B11" s="63"/>
      <c r="C11" s="63" t="s">
        <v>34</v>
      </c>
      <c r="D11" s="58">
        <v>111650</v>
      </c>
      <c r="E11" s="58">
        <v>111650</v>
      </c>
      <c r="F11" s="58">
        <v>111650</v>
      </c>
      <c r="G11" s="58">
        <v>111650</v>
      </c>
    </row>
    <row r="12" spans="2:7" outlineLevel="1" x14ac:dyDescent="0.3">
      <c r="B12" s="63"/>
      <c r="C12" s="63" t="s">
        <v>30</v>
      </c>
      <c r="D12" s="58">
        <v>113324.75</v>
      </c>
      <c r="E12" s="58">
        <v>113324.75</v>
      </c>
      <c r="F12" s="58">
        <v>113324.75</v>
      </c>
      <c r="G12" s="58">
        <v>113324.75</v>
      </c>
    </row>
    <row r="13" spans="2:7" outlineLevel="1" x14ac:dyDescent="0.3">
      <c r="B13" s="63"/>
      <c r="C13" s="63" t="s">
        <v>31</v>
      </c>
      <c r="D13" s="58">
        <v>115024.62125</v>
      </c>
      <c r="E13" s="58">
        <v>115024.62125</v>
      </c>
      <c r="F13" s="58">
        <v>115024.62125</v>
      </c>
      <c r="G13" s="58">
        <v>115024.62125</v>
      </c>
    </row>
    <row r="14" spans="2:7" outlineLevel="1" x14ac:dyDescent="0.3">
      <c r="B14" s="63"/>
      <c r="C14" s="63" t="s">
        <v>32</v>
      </c>
      <c r="D14" s="58">
        <v>116749.99056875</v>
      </c>
      <c r="E14" s="58">
        <v>116749.99056875</v>
      </c>
      <c r="F14" s="58">
        <v>116749.99056875</v>
      </c>
      <c r="G14" s="58">
        <v>116749.99056875</v>
      </c>
    </row>
    <row r="15" spans="2:7" ht="15" outlineLevel="1" thickBot="1" x14ac:dyDescent="0.35">
      <c r="B15" s="21"/>
      <c r="C15" s="21" t="s">
        <v>33</v>
      </c>
      <c r="D15" s="61">
        <v>566749.36181875004</v>
      </c>
      <c r="E15" s="61">
        <v>566749.36181875004</v>
      </c>
      <c r="F15" s="61">
        <v>566749.36181875004</v>
      </c>
      <c r="G15" s="61">
        <v>566749.36181875004</v>
      </c>
    </row>
    <row r="16" spans="2:7" x14ac:dyDescent="0.3">
      <c r="B16" t="s">
        <v>24</v>
      </c>
    </row>
    <row r="17" spans="2:2" x14ac:dyDescent="0.3">
      <c r="B17" t="s">
        <v>25</v>
      </c>
    </row>
    <row r="18" spans="2:2" x14ac:dyDescent="0.3">
      <c r="B1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F30" sqref="F30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35</v>
      </c>
    </row>
    <row r="2" spans="1:5" x14ac:dyDescent="0.3">
      <c r="A2" s="7" t="s">
        <v>36</v>
      </c>
    </row>
    <row r="3" spans="1:5" x14ac:dyDescent="0.3">
      <c r="A3" s="7" t="s">
        <v>37</v>
      </c>
    </row>
    <row r="4" spans="1:5" x14ac:dyDescent="0.3">
      <c r="A4" s="7" t="s">
        <v>38</v>
      </c>
    </row>
    <row r="5" spans="1:5" x14ac:dyDescent="0.3">
      <c r="A5" s="7" t="s">
        <v>39</v>
      </c>
    </row>
    <row r="6" spans="1:5" hidden="1" outlineLevel="1" x14ac:dyDescent="0.3">
      <c r="A6" s="7"/>
      <c r="B6" t="s">
        <v>40</v>
      </c>
    </row>
    <row r="7" spans="1:5" hidden="1" outlineLevel="1" x14ac:dyDescent="0.3">
      <c r="A7" s="7"/>
      <c r="B7" t="s">
        <v>41</v>
      </c>
    </row>
    <row r="8" spans="1:5" hidden="1" outlineLevel="1" x14ac:dyDescent="0.3">
      <c r="A8" s="7"/>
      <c r="B8" t="s">
        <v>42</v>
      </c>
    </row>
    <row r="9" spans="1:5" collapsed="1" x14ac:dyDescent="0.3">
      <c r="A9" s="7" t="s">
        <v>43</v>
      </c>
    </row>
    <row r="10" spans="1:5" hidden="1" outlineLevel="1" x14ac:dyDescent="0.3">
      <c r="B10" t="s">
        <v>44</v>
      </c>
    </row>
    <row r="11" spans="1:5" hidden="1" outlineLevel="1" x14ac:dyDescent="0.3">
      <c r="B11" t="s">
        <v>45</v>
      </c>
    </row>
    <row r="12" spans="1:5" hidden="1" outlineLevel="1" x14ac:dyDescent="0.3">
      <c r="B12" t="s">
        <v>46</v>
      </c>
    </row>
    <row r="13" spans="1:5" collapsed="1" x14ac:dyDescent="0.3"/>
    <row r="14" spans="1:5" ht="15" thickBot="1" x14ac:dyDescent="0.35">
      <c r="A14" t="s">
        <v>47</v>
      </c>
    </row>
    <row r="15" spans="1:5" ht="15" thickBot="1" x14ac:dyDescent="0.35">
      <c r="B15" s="39" t="s">
        <v>48</v>
      </c>
      <c r="C15" s="39" t="s">
        <v>49</v>
      </c>
      <c r="D15" s="39" t="s">
        <v>50</v>
      </c>
      <c r="E15" s="39" t="s">
        <v>51</v>
      </c>
    </row>
    <row r="16" spans="1:5" ht="15" thickBot="1" x14ac:dyDescent="0.35">
      <c r="B16" s="38" t="s">
        <v>27</v>
      </c>
      <c r="C16" s="38" t="s">
        <v>33</v>
      </c>
      <c r="D16" s="41">
        <v>640000.63710000005</v>
      </c>
      <c r="E16" s="41">
        <v>640000.63710000005</v>
      </c>
    </row>
    <row r="19" spans="1:7" ht="15" thickBot="1" x14ac:dyDescent="0.35">
      <c r="A19" t="s">
        <v>52</v>
      </c>
    </row>
    <row r="20" spans="1:7" ht="15" thickBot="1" x14ac:dyDescent="0.35">
      <c r="B20" s="39" t="s">
        <v>48</v>
      </c>
      <c r="C20" s="39" t="s">
        <v>49</v>
      </c>
      <c r="D20" s="39" t="s">
        <v>50</v>
      </c>
      <c r="E20" s="39" t="s">
        <v>51</v>
      </c>
      <c r="F20" s="39" t="s">
        <v>53</v>
      </c>
    </row>
    <row r="21" spans="1:7" x14ac:dyDescent="0.3">
      <c r="B21" s="40" t="s">
        <v>58</v>
      </c>
      <c r="C21" s="40" t="s">
        <v>15</v>
      </c>
      <c r="D21" s="42">
        <v>0.20547045696368638</v>
      </c>
      <c r="E21" s="42">
        <v>0.20547045696368638</v>
      </c>
      <c r="F21" s="40" t="s">
        <v>59</v>
      </c>
    </row>
    <row r="22" spans="1:7" ht="15" thickBot="1" x14ac:dyDescent="0.35">
      <c r="B22" s="38" t="s">
        <v>60</v>
      </c>
      <c r="C22" s="38" t="s">
        <v>16</v>
      </c>
      <c r="D22" s="43">
        <v>0.03</v>
      </c>
      <c r="E22" s="43">
        <v>0.03</v>
      </c>
      <c r="F22" s="38" t="s">
        <v>59</v>
      </c>
    </row>
    <row r="25" spans="1:7" ht="15" thickBot="1" x14ac:dyDescent="0.35">
      <c r="A25" t="s">
        <v>54</v>
      </c>
    </row>
    <row r="26" spans="1:7" ht="15" thickBot="1" x14ac:dyDescent="0.35">
      <c r="B26" s="39" t="s">
        <v>48</v>
      </c>
      <c r="C26" s="39" t="s">
        <v>49</v>
      </c>
      <c r="D26" s="39" t="s">
        <v>55</v>
      </c>
      <c r="E26" s="39" t="s">
        <v>56</v>
      </c>
      <c r="F26" s="39" t="s">
        <v>57</v>
      </c>
      <c r="G26" s="39" t="s">
        <v>8</v>
      </c>
    </row>
    <row r="27" spans="1:7" x14ac:dyDescent="0.3">
      <c r="B27" s="40" t="s">
        <v>27</v>
      </c>
      <c r="C27" s="40" t="s">
        <v>33</v>
      </c>
      <c r="D27" s="44">
        <v>640000.64</v>
      </c>
      <c r="E27" s="40" t="s">
        <v>61</v>
      </c>
      <c r="F27" s="40" t="s">
        <v>62</v>
      </c>
      <c r="G27" s="40">
        <v>0</v>
      </c>
    </row>
    <row r="28" spans="1:7" x14ac:dyDescent="0.3">
      <c r="B28" s="40" t="s">
        <v>58</v>
      </c>
      <c r="C28" s="40" t="s">
        <v>15</v>
      </c>
      <c r="D28" s="42">
        <v>0.20547045696368638</v>
      </c>
      <c r="E28" s="40" t="s">
        <v>63</v>
      </c>
      <c r="F28" s="40" t="s">
        <v>64</v>
      </c>
      <c r="G28" s="40">
        <v>4.4529543036313624E-2</v>
      </c>
    </row>
    <row r="29" spans="1:7" ht="15" thickBot="1" x14ac:dyDescent="0.35">
      <c r="B29" s="38" t="s">
        <v>60</v>
      </c>
      <c r="C29" s="38" t="s">
        <v>16</v>
      </c>
      <c r="D29" s="43">
        <v>0.03</v>
      </c>
      <c r="E29" s="38" t="s">
        <v>65</v>
      </c>
      <c r="F29" s="38" t="s">
        <v>64</v>
      </c>
      <c r="G29" s="38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tabSelected="1" workbookViewId="0">
      <selection activeCell="I15" sqref="I15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68</v>
      </c>
    </row>
    <row r="2" spans="1:10" x14ac:dyDescent="0.3">
      <c r="A2" s="7" t="s">
        <v>36</v>
      </c>
    </row>
    <row r="3" spans="1:10" x14ac:dyDescent="0.3">
      <c r="A3" s="7" t="s">
        <v>66</v>
      </c>
    </row>
    <row r="5" spans="1:10" ht="15" thickBot="1" x14ac:dyDescent="0.35"/>
    <row r="6" spans="1:10" x14ac:dyDescent="0.3">
      <c r="B6" s="45"/>
      <c r="C6" s="45" t="s">
        <v>69</v>
      </c>
      <c r="D6" s="45"/>
    </row>
    <row r="7" spans="1:10" ht="15" thickBot="1" x14ac:dyDescent="0.35">
      <c r="B7" s="46" t="s">
        <v>48</v>
      </c>
      <c r="C7" s="46" t="s">
        <v>49</v>
      </c>
      <c r="D7" s="46" t="s">
        <v>67</v>
      </c>
    </row>
    <row r="8" spans="1:10" ht="15" thickBot="1" x14ac:dyDescent="0.35">
      <c r="B8" s="38" t="s">
        <v>27</v>
      </c>
      <c r="C8" s="38" t="s">
        <v>33</v>
      </c>
      <c r="D8" s="41">
        <v>640000.63710000005</v>
      </c>
    </row>
    <row r="10" spans="1:10" ht="15" thickBot="1" x14ac:dyDescent="0.35"/>
    <row r="11" spans="1:10" x14ac:dyDescent="0.3">
      <c r="B11" s="45"/>
      <c r="C11" s="45" t="s">
        <v>70</v>
      </c>
      <c r="D11" s="45"/>
      <c r="F11" s="45" t="s">
        <v>71</v>
      </c>
      <c r="G11" s="45" t="s">
        <v>69</v>
      </c>
      <c r="I11" s="45" t="s">
        <v>74</v>
      </c>
      <c r="J11" s="45" t="s">
        <v>69</v>
      </c>
    </row>
    <row r="12" spans="1:10" ht="15" thickBot="1" x14ac:dyDescent="0.35">
      <c r="B12" s="46" t="s">
        <v>48</v>
      </c>
      <c r="C12" s="46" t="s">
        <v>49</v>
      </c>
      <c r="D12" s="46" t="s">
        <v>67</v>
      </c>
      <c r="F12" s="46" t="s">
        <v>72</v>
      </c>
      <c r="G12" s="46" t="s">
        <v>73</v>
      </c>
      <c r="I12" s="46" t="s">
        <v>72</v>
      </c>
      <c r="J12" s="46" t="s">
        <v>73</v>
      </c>
    </row>
    <row r="13" spans="1:10" x14ac:dyDescent="0.3">
      <c r="B13" s="40" t="s">
        <v>58</v>
      </c>
      <c r="C13" s="40" t="s">
        <v>15</v>
      </c>
      <c r="D13" s="42">
        <v>0.20547045696368638</v>
      </c>
      <c r="F13" s="42">
        <v>0</v>
      </c>
      <c r="G13" s="42">
        <v>530913.57999999996</v>
      </c>
      <c r="I13" s="42">
        <v>0.25</v>
      </c>
      <c r="J13" s="42">
        <v>663641.98</v>
      </c>
    </row>
    <row r="14" spans="1:10" ht="15" thickBot="1" x14ac:dyDescent="0.35">
      <c r="B14" s="38" t="s">
        <v>60</v>
      </c>
      <c r="C14" s="38" t="s">
        <v>16</v>
      </c>
      <c r="D14" s="43">
        <v>0.03</v>
      </c>
      <c r="F14" s="43">
        <v>0</v>
      </c>
      <c r="G14" s="43">
        <v>602735.23</v>
      </c>
      <c r="I14" s="43">
        <v>0.04</v>
      </c>
      <c r="J14" s="4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 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jeevani nallu</cp:lastModifiedBy>
  <dcterms:created xsi:type="dcterms:W3CDTF">2024-08-08T18:34:47Z</dcterms:created>
  <dcterms:modified xsi:type="dcterms:W3CDTF">2026-07-19T15:29:03Z</dcterms:modified>
</cp:coreProperties>
</file>